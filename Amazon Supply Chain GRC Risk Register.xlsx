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isk_Register" sheetId="2" state="visible" r:id="rId2"/>
    <sheet xmlns:r="http://schemas.openxmlformats.org/officeDocument/2006/relationships" name="Control_Testing_Log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F4E78"/>
      <sz val="20"/>
    </font>
    <font>
      <name val="Calibri"/>
      <b val="1"/>
      <sz val="18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44546A"/>
        <bgColor rgb="FF44546A"/>
      </patternFill>
    </fill>
    <fill>
      <patternFill patternType="solid">
        <fgColor theme="4"/>
        <bgColor indexed="64"/>
      </patternFill>
    </fill>
    <fill>
      <patternFill patternType="solid">
        <fgColor rgb="001F2D3D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0" fillId="5" borderId="0" pivotButton="0" quotePrefix="0" xfId="0"/>
    <xf numFmtId="0" fontId="1" fillId="6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/>
    </xf>
    <xf numFmtId="0" fontId="2" fillId="5" borderId="3" applyAlignment="1" pivotButton="0" quotePrefix="0" xfId="0">
      <alignment horizontal="center"/>
    </xf>
    <xf numFmtId="0" fontId="2" fillId="5" borderId="4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4" fillId="7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6" fillId="5" borderId="0" pivotButton="0" quotePrefix="0" xfId="0"/>
    <xf numFmtId="0" fontId="5" fillId="8" borderId="9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6" fillId="9" borderId="9" applyAlignment="1" pivotButton="0" quotePrefix="0" xfId="0">
      <alignment vertical="top" wrapText="1"/>
    </xf>
    <xf numFmtId="0" fontId="6" fillId="10" borderId="9" applyAlignment="1" pivotButton="0" quotePrefix="0" xfId="0">
      <alignment vertical="top" wrapText="1"/>
    </xf>
    <xf numFmtId="0" fontId="6" fillId="11" borderId="9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Risks by Severity</a:t>
            </a:r>
          </a:p>
        </rich>
      </tx>
      <overlay val="0"/>
    </title>
    <plotArea>
      <layout/>
      <doughnutChart>
        <varyColors val="1"/>
        <ser>
          <idx val="0"/>
          <order val="0"/>
          <tx>
            <strRef>
              <f>Dashboard!$L$4</f>
              <strCache>
                <ptCount val="1"/>
                <pt idx="0">
                  <v>Count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Dashboard!$K$5:$K$8</f>
              <strCache>
                <ptCount val="4"/>
                <pt idx="0">
                  <v>Critical</v>
                </pt>
                <pt idx="1">
                  <v>High</v>
                </pt>
                <pt idx="2">
                  <v>Medium</v>
                </pt>
                <pt idx="3">
                  <v>Low</v>
                </pt>
              </strCache>
            </strRef>
          </cat>
          <val>
            <numRef>
              <f>Dashboard!$L$5:$L$8</f>
              <numCache>
                <formatCode>General</formatCode>
                <ptCount val="4"/>
                <pt idx="0">
                  <v>19</v>
                </pt>
                <pt idx="1">
                  <v>9</v>
                </pt>
                <pt idx="2">
                  <v>11</v>
                </pt>
                <pt idx="3">
                  <v>11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10"/>
      </doughnutChart>
    </plotArea>
    <legend>
      <legendPos val="r"/>
      <layout>
        <manualLayout>
          <xMode val="edge"/>
          <yMode val="edge"/>
          <wMode val="factor"/>
          <hMode val="factor"/>
          <x val="0.7527200872444946"/>
          <y val="0.3473332700882269"/>
          <w val="0.1303802939499145"/>
          <h val="0.3485862821364197"/>
        </manualLayout>
      </layout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Risks by NIST Function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Dashboard!$O$4</f>
              <strCache>
                <ptCount val="1"/>
                <pt idx="0">
                  <v>Count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Dashboard!$N$5:$N$10</f>
              <strCache>
                <ptCount val="5"/>
                <pt idx="0">
                  <v>Identify</v>
                </pt>
                <pt idx="1">
                  <v>Protect</v>
                </pt>
                <pt idx="2">
                  <v>Detect</v>
                </pt>
                <pt idx="3">
                  <v>Respond</v>
                </pt>
                <pt idx="4">
                  <v>Recover</v>
                </pt>
              </strCache>
            </strRef>
          </cat>
          <val>
            <numRef>
              <f>Dashboard!$O$5:$O$10</f>
              <numCache>
                <formatCode>General</formatCode>
                <ptCount val="5"/>
                <pt idx="0">
                  <v>13</v>
                </pt>
                <pt idx="1">
                  <v>18</v>
                </pt>
                <pt idx="2">
                  <v>9</v>
                </pt>
                <pt idx="3">
                  <v>0</v>
                </pt>
                <pt idx="4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12700</colOff>
      <row>5</row>
      <rowOff>171450</rowOff>
    </from>
    <ext cx="4997450" cy="26352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21</row>
      <rowOff>0</rowOff>
    </from>
    <ext cx="5003800" cy="26352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showGridLines="0" zoomScale="82" workbookViewId="0">
      <selection activeCell="J26" sqref="J26"/>
    </sheetView>
  </sheetViews>
  <sheetFormatPr baseColWidth="8" defaultRowHeight="14.5"/>
  <cols>
    <col width="18" customWidth="1" min="2" max="2"/>
    <col width="18" customWidth="1" min="4" max="4"/>
    <col width="18" customWidth="1" min="6" max="6"/>
    <col width="13" customWidth="1" min="11" max="12"/>
    <col width="13" customWidth="1" min="14" max="15"/>
  </cols>
  <sheetData>
    <row r="1" ht="15" customHeight="1" thickBot="1">
      <c r="A1" s="6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</row>
    <row r="2" ht="26.5" customHeight="1" thickBot="1">
      <c r="A2" s="6" t="n"/>
      <c r="B2" s="15" t="inlineStr">
        <is>
          <t>Cybersecurity Risk Register Dashboard</t>
        </is>
      </c>
      <c r="C2" s="16" t="n"/>
      <c r="D2" s="16" t="n"/>
      <c r="E2" s="16" t="n"/>
      <c r="F2" s="17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</row>
    <row r="4">
      <c r="A4" s="6" t="n"/>
      <c r="B4" s="7" t="inlineStr">
        <is>
          <t>Total Risks</t>
        </is>
      </c>
      <c r="C4" s="6" t="n"/>
      <c r="D4" s="7" t="inlineStr">
        <is>
          <t>Average Score</t>
        </is>
      </c>
      <c r="E4" s="6" t="n"/>
      <c r="F4" s="7" t="inlineStr">
        <is>
          <t>Open Risks</t>
        </is>
      </c>
      <c r="G4" s="6" t="n"/>
      <c r="H4" s="6" t="n"/>
      <c r="I4" s="6" t="n"/>
      <c r="J4" s="6" t="n"/>
      <c r="K4" s="6" t="inlineStr">
        <is>
          <t>Severity</t>
        </is>
      </c>
      <c r="L4" s="6" t="inlineStr">
        <is>
          <t>Count</t>
        </is>
      </c>
      <c r="M4" s="6" t="n"/>
      <c r="N4" s="6" t="inlineStr">
        <is>
          <t>NIST Function</t>
        </is>
      </c>
      <c r="O4" s="6" t="inlineStr">
        <is>
          <t>Count</t>
        </is>
      </c>
      <c r="P4" s="6" t="n"/>
      <c r="Q4" s="6" t="n"/>
      <c r="R4" s="18" t="inlineStr">
        <is>
          <t>Control Tests</t>
        </is>
      </c>
      <c r="S4" s="18" t="inlineStr">
        <is>
          <t>Count</t>
        </is>
      </c>
    </row>
    <row r="5" ht="23.5" customHeight="1">
      <c r="A5" s="6" t="n"/>
      <c r="B5" s="8">
        <f>COUNTA(Risk_Register!A2:A100)</f>
        <v/>
      </c>
      <c r="C5" s="6" t="n"/>
      <c r="D5" s="8">
        <f>IFERROR(AVERAGE(Risk_Register!P2:P100), 0)</f>
        <v/>
      </c>
      <c r="E5" s="6" t="n"/>
      <c r="F5" s="8">
        <f>COUNTIF(Risk_Register!M:M, "Open")</f>
        <v/>
      </c>
      <c r="G5" s="6" t="n"/>
      <c r="H5" s="6" t="n"/>
      <c r="I5" s="6" t="n"/>
      <c r="J5" s="6" t="n"/>
      <c r="K5" s="6" t="inlineStr">
        <is>
          <t>Critical</t>
        </is>
      </c>
      <c r="L5" s="6">
        <f>COUNTIF(Risk_Register!Q:Q, "Critical")</f>
        <v/>
      </c>
      <c r="M5" s="6" t="n"/>
      <c r="N5" s="6" t="inlineStr">
        <is>
          <t>Identify</t>
        </is>
      </c>
      <c r="O5" s="6">
        <f>COUNTIF(Risk_Register!C:C, "Identify")</f>
        <v/>
      </c>
      <c r="P5" s="6" t="n"/>
      <c r="Q5" s="6" t="n"/>
      <c r="R5" s="6" t="inlineStr">
        <is>
          <t>Total Tests</t>
        </is>
      </c>
      <c r="S5" s="6">
        <f>COUNTA(Control_Testing_Log!A2:A100)</f>
        <v/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inlineStr">
        <is>
          <t>High</t>
        </is>
      </c>
      <c r="L6" s="6">
        <f>COUNTIF(Risk_Register!Q:Q, "High")</f>
        <v/>
      </c>
      <c r="M6" s="6" t="n"/>
      <c r="N6" s="6" t="inlineStr">
        <is>
          <t>Protect</t>
        </is>
      </c>
      <c r="O6" s="6">
        <f>COUNTIF(Risk_Register!C:C, "Protect")</f>
        <v/>
      </c>
      <c r="P6" s="6" t="n"/>
      <c r="Q6" s="6" t="n"/>
      <c r="R6" s="6" t="inlineStr">
        <is>
          <t>Effective</t>
        </is>
      </c>
      <c r="S6" s="6">
        <f>COUNTIF(Control_Testing_Log!K:K, "Effective")</f>
        <v/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inlineStr">
        <is>
          <t>Medium</t>
        </is>
      </c>
      <c r="L7" s="6">
        <f>COUNTIF(Risk_Register!Q:Q, "Medium")</f>
        <v/>
      </c>
      <c r="M7" s="6" t="n"/>
      <c r="N7" s="6" t="inlineStr">
        <is>
          <t>Detect</t>
        </is>
      </c>
      <c r="O7" s="6">
        <f>COUNTIF(Risk_Register!C:C, "Detect")</f>
        <v/>
      </c>
      <c r="P7" s="6" t="n"/>
      <c r="Q7" s="6" t="n"/>
      <c r="R7" s="6" t="inlineStr">
        <is>
          <t>Partially Effective / Exception</t>
        </is>
      </c>
      <c r="S7" s="6">
        <f>COUNTIF(Control_Testing_Log!K:K, "*Effective*")-COUNTIF(Control_Testing_Log!K:K, "Effective")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inlineStr">
        <is>
          <t>Low</t>
        </is>
      </c>
      <c r="L8" s="6">
        <f>COUNTIF(Risk_Register!Q:Q, "Low")</f>
        <v/>
      </c>
      <c r="M8" s="6" t="n"/>
      <c r="N8" s="6" t="inlineStr">
        <is>
          <t>Respond</t>
        </is>
      </c>
      <c r="O8" s="6">
        <f>COUNTIF(Risk_Register!C:C, "Respond")</f>
        <v/>
      </c>
      <c r="P8" s="6" t="n"/>
      <c r="Q8" s="6" t="n"/>
      <c r="R8" s="6" t="inlineStr">
        <is>
          <t>Ineffective</t>
        </is>
      </c>
      <c r="S8" s="6">
        <f>COUNTIF(Control_Testing_Log!K:K, "Ineffective")</f>
        <v/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inlineStr">
        <is>
          <t>Recover</t>
        </is>
      </c>
      <c r="O9" s="6">
        <f>COUNTIF(Risk_Register!C:C, "Recover")</f>
        <v/>
      </c>
      <c r="P9" s="6" t="n"/>
      <c r="Q9" s="6" t="n"/>
      <c r="R9" s="6" t="n"/>
      <c r="S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inlineStr">
        <is>
          <t>Govern</t>
        </is>
      </c>
      <c r="O10" s="6">
        <f>COUNTIF(Risk_Register!C:C, "Govern")</f>
        <v/>
      </c>
      <c r="P10" s="6" t="n"/>
      <c r="Q10" s="6" t="n"/>
      <c r="R10" s="6" t="n"/>
      <c r="S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</row>
  </sheetData>
  <mergeCells count="1">
    <mergeCell ref="B2:F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9"/>
  <sheetViews>
    <sheetView zoomScale="93" workbookViewId="0">
      <pane ySplit="1" topLeftCell="A3" activePane="bottomLeft" state="frozen"/>
      <selection pane="bottomLeft" activeCell="E50" sqref="E50"/>
    </sheetView>
  </sheetViews>
  <sheetFormatPr baseColWidth="8" defaultRowHeight="14.5"/>
  <cols>
    <col width="10" customWidth="1" min="1" max="1"/>
    <col width="20" customWidth="1" min="2" max="2"/>
    <col width="15" customWidth="1" min="3" max="3"/>
    <col width="30" customWidth="1" min="4" max="4"/>
    <col width="35" customWidth="1" min="5" max="7"/>
    <col width="25" customWidth="1" min="8" max="8"/>
    <col width="30" customWidth="1" min="9" max="9"/>
    <col width="35" customWidth="1" min="10" max="10"/>
    <col width="15" customWidth="1" min="11" max="15"/>
    <col width="10" customWidth="1" min="16" max="16"/>
    <col width="15" customWidth="1" min="17" max="17"/>
  </cols>
  <sheetData>
    <row r="1">
      <c r="A1" s="1" t="inlineStr">
        <is>
          <t>Risk ID</t>
        </is>
      </c>
      <c r="B1" s="1" t="inlineStr">
        <is>
          <t>Domain</t>
        </is>
      </c>
      <c r="C1" s="1" t="inlineStr">
        <is>
          <t>NIST Function</t>
        </is>
      </c>
      <c r="D1" s="1" t="inlineStr">
        <is>
          <t>Risk Title</t>
        </is>
      </c>
      <c r="E1" s="1" t="inlineStr">
        <is>
          <t>Cause</t>
        </is>
      </c>
      <c r="F1" s="1" t="inlineStr">
        <is>
          <t>Event</t>
        </is>
      </c>
      <c r="G1" s="1" t="inlineStr">
        <is>
          <t>Business Impact</t>
        </is>
      </c>
      <c r="H1" s="1" t="inlineStr">
        <is>
          <t>Existing Controls</t>
        </is>
      </c>
      <c r="I1" s="1" t="inlineStr">
        <is>
          <t>Control Gaps</t>
        </is>
      </c>
      <c r="J1" s="1" t="inlineStr">
        <is>
          <t>Mitigation Plan</t>
        </is>
      </c>
      <c r="K1" s="1" t="inlineStr">
        <is>
          <t>Owner</t>
        </is>
      </c>
      <c r="L1" s="1" t="inlineStr">
        <is>
          <t>Due Date</t>
        </is>
      </c>
      <c r="M1" s="1" t="inlineStr">
        <is>
          <t>Status</t>
        </is>
      </c>
      <c r="N1" s="1" t="inlineStr">
        <is>
          <t>Likelihood (1-5)</t>
        </is>
      </c>
      <c r="O1" s="1" t="inlineStr">
        <is>
          <t>Impact (1-5)</t>
        </is>
      </c>
      <c r="P1" s="1" t="inlineStr">
        <is>
          <t>Score</t>
        </is>
      </c>
      <c r="Q1" s="1" t="inlineStr">
        <is>
          <t>Rating</t>
        </is>
      </c>
    </row>
    <row r="2" ht="29" customHeight="1">
      <c r="A2" s="2" t="inlineStr">
        <is>
          <t>R-001</t>
        </is>
      </c>
      <c r="B2" s="2" t="inlineStr">
        <is>
          <t>Third-Party Risk</t>
        </is>
      </c>
      <c r="C2" s="2" t="inlineStr">
        <is>
          <t>Identify</t>
        </is>
      </c>
      <c r="D2" s="3" t="inlineStr">
        <is>
          <t>Vendor Data Exposure</t>
        </is>
      </c>
      <c r="E2" s="3" t="inlineStr">
        <is>
          <t>Unpatched 3rd-party file transfer software</t>
        </is>
      </c>
      <c r="F2" s="3" t="inlineStr">
        <is>
          <t>Unauthorized data exfiltration</t>
        </is>
      </c>
      <c r="G2" s="3" t="inlineStr">
        <is>
          <t>2.8M employee records leaked</t>
        </is>
      </c>
      <c r="H2" s="3" t="inlineStr">
        <is>
          <t>Standard contracts</t>
        </is>
      </c>
      <c r="I2" s="3" t="inlineStr">
        <is>
          <t>No continuous patch monitoring</t>
        </is>
      </c>
      <c r="J2" s="3" t="inlineStr">
        <is>
          <t>Implement continuous vendor security audits</t>
        </is>
      </c>
      <c r="K2" s="2" t="inlineStr">
        <is>
          <t>Vendor Risk</t>
        </is>
      </c>
      <c r="L2" s="2" t="inlineStr">
        <is>
          <t>2026-08-01</t>
        </is>
      </c>
      <c r="M2" s="2" t="inlineStr">
        <is>
          <t>Open</t>
        </is>
      </c>
      <c r="N2" s="2" t="n">
        <v>4</v>
      </c>
      <c r="O2" s="2" t="n">
        <v>5</v>
      </c>
      <c r="P2" s="2">
        <f>N2*O2</f>
        <v/>
      </c>
      <c r="Q2" s="2">
        <f>IF(P2&gt;=15, "Critical", IF(P2&gt;=10, "High", IF(P2&gt;=5, "Medium", "Low")))</f>
        <v/>
      </c>
    </row>
    <row r="3" ht="29" customHeight="1">
      <c r="A3" s="4" t="inlineStr">
        <is>
          <t>R-002</t>
        </is>
      </c>
      <c r="B3" s="4" t="inlineStr">
        <is>
          <t>Cloud Security</t>
        </is>
      </c>
      <c r="C3" s="4" t="inlineStr">
        <is>
          <t>Protect</t>
        </is>
      </c>
      <c r="D3" s="5" t="inlineStr">
        <is>
          <t>Compromised CI/CD Pipeline</t>
        </is>
      </c>
      <c r="E3" s="5" t="inlineStr">
        <is>
          <t>Upstream compromise in developer tool</t>
        </is>
      </c>
      <c r="F3" s="5" t="inlineStr">
        <is>
          <t>Stolen AWS API keys</t>
        </is>
      </c>
      <c r="G3" s="5" t="inlineStr">
        <is>
          <t>Unauthorized access to core AWS infrastructure</t>
        </is>
      </c>
      <c r="H3" s="5" t="inlineStr">
        <is>
          <t>Static access keys</t>
        </is>
      </c>
      <c r="I3" s="5" t="inlineStr">
        <is>
          <t>Over-privileged keys, no behavioral monitoring</t>
        </is>
      </c>
      <c r="J3" s="5" t="inlineStr">
        <is>
          <t>Rotate keys, enforce least privilege via AWS SCPs</t>
        </is>
      </c>
      <c r="K3" s="4" t="inlineStr">
        <is>
          <t>Cloud Sec</t>
        </is>
      </c>
      <c r="L3" s="4" t="inlineStr">
        <is>
          <t>2026-07-15</t>
        </is>
      </c>
      <c r="M3" s="4" t="inlineStr">
        <is>
          <t>In Progress</t>
        </is>
      </c>
      <c r="N3" s="4" t="n">
        <v>4</v>
      </c>
      <c r="O3" s="4" t="n">
        <v>4</v>
      </c>
      <c r="P3" s="4">
        <f>N3*O3</f>
        <v/>
      </c>
      <c r="Q3" s="4">
        <f>IF(P3&gt;=15, "Critical", IF(P3&gt;=10, "High", IF(P3&gt;=5, "Medium", "Low")))</f>
        <v/>
      </c>
    </row>
    <row r="4" ht="29" customHeight="1">
      <c r="A4" s="2" t="inlineStr">
        <is>
          <t>R-003</t>
        </is>
      </c>
      <c r="B4" s="2" t="inlineStr">
        <is>
          <t>Identity &amp; Access</t>
        </is>
      </c>
      <c r="C4" s="2" t="inlineStr">
        <is>
          <t>Detect</t>
        </is>
      </c>
      <c r="D4" s="3" t="inlineStr">
        <is>
          <t>Hijacked Network Edge Devices</t>
        </is>
      </c>
      <c r="E4" s="3" t="inlineStr">
        <is>
          <t>Misconfigured customer routers on AWS</t>
        </is>
      </c>
      <c r="F4" s="3" t="inlineStr">
        <is>
          <t>State-sponsored credential harvesting</t>
        </is>
      </c>
      <c r="G4" s="3" t="inlineStr">
        <is>
          <t>Credential replay attacks disrupting logistics</t>
        </is>
      </c>
      <c r="H4" s="3" t="inlineStr">
        <is>
          <t>Basic firewalls</t>
        </is>
      </c>
      <c r="I4" s="3" t="inlineStr">
        <is>
          <t>No edge device auditing or replay detection</t>
        </is>
      </c>
      <c r="J4" s="3" t="inlineStr">
        <is>
          <t>Monthly edge audits, enable replay alerts</t>
        </is>
      </c>
      <c r="K4" s="2" t="inlineStr">
        <is>
          <t>Network Sec</t>
        </is>
      </c>
      <c r="L4" s="2" t="inlineStr">
        <is>
          <t>2026-07-30</t>
        </is>
      </c>
      <c r="M4" s="2" t="inlineStr">
        <is>
          <t>Open</t>
        </is>
      </c>
      <c r="N4" s="2" t="n">
        <v>3</v>
      </c>
      <c r="O4" s="2" t="n">
        <v>5</v>
      </c>
      <c r="P4" s="2">
        <f>N4*O4</f>
        <v/>
      </c>
      <c r="Q4" s="2">
        <f>IF(P4&gt;=15, "Critical", IF(P4&gt;=10, "High", IF(P4&gt;=5, "Medium", "Low")))</f>
        <v/>
      </c>
    </row>
    <row r="5" ht="29" customHeight="1">
      <c r="A5" s="4" t="inlineStr">
        <is>
          <t>R-004</t>
        </is>
      </c>
      <c r="B5" s="4" t="inlineStr">
        <is>
          <t>Endpoint Security</t>
        </is>
      </c>
      <c r="C5" s="4" t="inlineStr">
        <is>
          <t>Protect</t>
        </is>
      </c>
      <c r="D5" s="5" t="inlineStr">
        <is>
          <t>Malicious Code in Open-Source</t>
        </is>
      </c>
      <c r="E5" s="5" t="inlineStr">
        <is>
          <t>Implicit trust in open-source packages</t>
        </is>
      </c>
      <c r="F5" s="5" t="inlineStr">
        <is>
          <t>Poisoned packages infect developer laptops</t>
        </is>
      </c>
      <c r="G5" s="5" t="inlineStr">
        <is>
          <t>Malicious code bypasses endpoint security</t>
        </is>
      </c>
      <c r="H5" s="5" t="inlineStr">
        <is>
          <t>Standard antivirus</t>
        </is>
      </c>
      <c r="I5" s="5" t="inlineStr">
        <is>
          <t>No hardware MFA, unvetted software allowed</t>
        </is>
      </c>
      <c r="J5" s="5" t="inlineStr">
        <is>
          <t>Enforce hardware MFA, implement software allowlist</t>
        </is>
      </c>
      <c r="K5" s="4" t="inlineStr">
        <is>
          <t>AppSec</t>
        </is>
      </c>
      <c r="L5" s="4" t="inlineStr">
        <is>
          <t>2026-08-15</t>
        </is>
      </c>
      <c r="M5" s="4" t="inlineStr">
        <is>
          <t>Open</t>
        </is>
      </c>
      <c r="N5" s="4" t="n">
        <v>4</v>
      </c>
      <c r="O5" s="4" t="n">
        <v>3</v>
      </c>
      <c r="P5" s="4">
        <f>N5*O5</f>
        <v/>
      </c>
      <c r="Q5" s="4">
        <f>IF(P5&gt;=15, "Critical", IF(P5&gt;=10, "High", IF(P5&gt;=5, "Medium", "Low")))</f>
        <v/>
      </c>
    </row>
    <row r="6" ht="29" customHeight="1">
      <c r="A6" s="2" t="inlineStr">
        <is>
          <t>R-005</t>
        </is>
      </c>
      <c r="B6" s="2" t="inlineStr">
        <is>
          <t>Third-Party Risk</t>
        </is>
      </c>
      <c r="C6" s="2" t="inlineStr">
        <is>
          <t>Recover</t>
        </is>
      </c>
      <c r="D6" s="3" t="inlineStr">
        <is>
          <t>Logistics Partner Ransomware</t>
        </is>
      </c>
      <c r="E6" s="3" t="inlineStr">
        <is>
          <t>Phishing attack on regional delivery partner</t>
        </is>
      </c>
      <c r="F6" s="3" t="inlineStr">
        <is>
          <t>Ransomware encrypts dispatch systems</t>
        </is>
      </c>
      <c r="G6" s="3" t="inlineStr">
        <is>
          <t>Regional delivery halts for 48 hours</t>
        </is>
      </c>
      <c r="H6" s="3" t="inlineStr">
        <is>
          <t>Email filtering</t>
        </is>
      </c>
      <c r="I6" s="3" t="inlineStr">
        <is>
          <t>Lack of mandated offline backups for vendors</t>
        </is>
      </c>
      <c r="J6" s="3" t="inlineStr">
        <is>
          <t>Require immutable backups in vendor contracts</t>
        </is>
      </c>
      <c r="K6" s="2" t="inlineStr">
        <is>
          <t>Vendor Risk</t>
        </is>
      </c>
      <c r="L6" s="2" t="inlineStr">
        <is>
          <t>2026-09-01</t>
        </is>
      </c>
      <c r="M6" s="2" t="inlineStr">
        <is>
          <t>Open</t>
        </is>
      </c>
      <c r="N6" s="2" t="n">
        <v>3</v>
      </c>
      <c r="O6" s="2" t="n">
        <v>4</v>
      </c>
      <c r="P6" s="2">
        <f>N6*O6</f>
        <v/>
      </c>
      <c r="Q6" s="2">
        <f>IF(P6&gt;=15, "Critical", IF(P6&gt;=10, "High", IF(P6&gt;=5, "Medium", "Low")))</f>
        <v/>
      </c>
    </row>
    <row r="7" ht="29" customHeight="1">
      <c r="A7" s="4" t="inlineStr">
        <is>
          <t>R-006</t>
        </is>
      </c>
      <c r="B7" s="4" t="inlineStr">
        <is>
          <t>Cloud Security</t>
        </is>
      </c>
      <c r="C7" s="4" t="inlineStr">
        <is>
          <t>Protect</t>
        </is>
      </c>
      <c r="D7" s="5" t="inlineStr">
        <is>
          <t>S3 Bucket Misconfiguration</t>
        </is>
      </c>
      <c r="E7" s="5" t="inlineStr">
        <is>
          <t>Human error during infrastructure deployment</t>
        </is>
      </c>
      <c r="F7" s="5" t="inlineStr">
        <is>
          <t>Public exposure of internal shipping manifests</t>
        </is>
      </c>
      <c r="G7" s="5" t="inlineStr">
        <is>
          <t>Competitors access proprietary routing data</t>
        </is>
      </c>
      <c r="H7" s="5" t="inlineStr">
        <is>
          <t>Manual cloud reviews</t>
        </is>
      </c>
      <c r="I7" s="5" t="inlineStr">
        <is>
          <t>No automated posture management (CSPM)</t>
        </is>
      </c>
      <c r="J7" s="5" t="inlineStr">
        <is>
          <t>Deploy CSPM tools to block public S3 buckets</t>
        </is>
      </c>
      <c r="K7" s="4" t="inlineStr">
        <is>
          <t>Cloud Sec</t>
        </is>
      </c>
      <c r="L7" s="4" t="inlineStr">
        <is>
          <t>2026-07-20</t>
        </is>
      </c>
      <c r="M7" s="4" t="inlineStr">
        <is>
          <t>Closed</t>
        </is>
      </c>
      <c r="N7" s="4" t="n">
        <v>2</v>
      </c>
      <c r="O7" s="4" t="n">
        <v>4</v>
      </c>
      <c r="P7" s="4">
        <f>N7*O7</f>
        <v/>
      </c>
      <c r="Q7" s="4">
        <f>IF(P7&gt;=15, "Critical", IF(P7&gt;=10, "High", IF(P7&gt;=5, "Medium", "Low")))</f>
        <v/>
      </c>
    </row>
    <row r="8" ht="29" customHeight="1">
      <c r="A8" s="2" t="inlineStr">
        <is>
          <t>R-007</t>
        </is>
      </c>
      <c r="B8" s="2" t="inlineStr">
        <is>
          <t>Logging &amp; Monitoring</t>
        </is>
      </c>
      <c r="C8" s="2" t="inlineStr">
        <is>
          <t>Detect</t>
        </is>
      </c>
      <c r="D8" s="3" t="inlineStr">
        <is>
          <t>Lack of API Traffic Visibility</t>
        </is>
      </c>
      <c r="E8" s="3" t="inlineStr">
        <is>
          <t>Undocumented shadow APIs used by mobile app</t>
        </is>
      </c>
      <c r="F8" s="3" t="inlineStr">
        <is>
          <t>Data scraping of product inventory</t>
        </is>
      </c>
      <c r="G8" s="3" t="inlineStr">
        <is>
          <t>Competitor price manipulation</t>
        </is>
      </c>
      <c r="H8" s="3" t="inlineStr">
        <is>
          <t>Web Application Firewall</t>
        </is>
      </c>
      <c r="I8" s="3" t="inlineStr">
        <is>
          <t>No dedicated API discovery and monitoring</t>
        </is>
      </c>
      <c r="J8" s="3" t="inlineStr">
        <is>
          <t>Implement API gateway with strict rate limiting</t>
        </is>
      </c>
      <c r="K8" s="2" t="inlineStr">
        <is>
          <t>AppSec</t>
        </is>
      </c>
      <c r="L8" s="2" t="inlineStr">
        <is>
          <t>2026-08-10</t>
        </is>
      </c>
      <c r="M8" s="2" t="inlineStr">
        <is>
          <t>In Progress</t>
        </is>
      </c>
      <c r="N8" s="2" t="n">
        <v>4</v>
      </c>
      <c r="O8" s="2" t="n">
        <v>3</v>
      </c>
      <c r="P8" s="2">
        <f>N8*O8</f>
        <v/>
      </c>
      <c r="Q8" s="2">
        <f>IF(P8&gt;=15, "Critical", IF(P8&gt;=10, "High", IF(P8&gt;=5, "Medium", "Low")))</f>
        <v/>
      </c>
    </row>
    <row r="9" ht="29" customHeight="1">
      <c r="A9" s="4" t="inlineStr">
        <is>
          <t>R-008</t>
        </is>
      </c>
      <c r="B9" s="4" t="inlineStr">
        <is>
          <t>Third-Party Risk</t>
        </is>
      </c>
      <c r="C9" s="4" t="inlineStr">
        <is>
          <t>Identify</t>
        </is>
      </c>
      <c r="D9" s="5" t="inlineStr">
        <is>
          <t>Overprivileged Cloud Admins (EU)</t>
        </is>
      </c>
      <c r="E9" s="5" t="inlineStr">
        <is>
          <t>Role creep over several years</t>
        </is>
      </c>
      <c r="F9" s="5" t="inlineStr">
        <is>
          <t>Insider threat or hijacked admin account</t>
        </is>
      </c>
      <c r="G9" s="5" t="inlineStr">
        <is>
          <t>Complete deletion of cloud storage buckets</t>
        </is>
      </c>
      <c r="H9" s="5" t="inlineStr">
        <is>
          <t>Annual access reviews</t>
        </is>
      </c>
      <c r="I9" s="5" t="inlineStr">
        <is>
          <t>Too much standing privilege, no Just-in-Time access</t>
        </is>
      </c>
      <c r="J9" s="5" t="inlineStr">
        <is>
          <t>Implement Just-in-Time (JIT) cloud access</t>
        </is>
      </c>
      <c r="K9" s="4" t="inlineStr">
        <is>
          <t>Cloud Sec</t>
        </is>
      </c>
      <c r="L9" s="4" t="inlineStr">
        <is>
          <t>2026-11-01</t>
        </is>
      </c>
      <c r="M9" s="4" t="inlineStr">
        <is>
          <t>Open</t>
        </is>
      </c>
      <c r="N9" s="4" t="n">
        <v>4</v>
      </c>
      <c r="O9" s="4" t="n">
        <v>4</v>
      </c>
      <c r="P9" s="4">
        <f>N9*O9</f>
        <v/>
      </c>
      <c r="Q9" s="4">
        <f>IF(P9&gt;=15, "Critical", IF(P9&gt;=10, "High", IF(P9&gt;=5, "Medium", "Low")))</f>
        <v/>
      </c>
    </row>
    <row r="10" ht="29" customHeight="1">
      <c r="A10" s="2" t="inlineStr">
        <is>
          <t>R-009</t>
        </is>
      </c>
      <c r="B10" s="2" t="inlineStr">
        <is>
          <t>Backup &amp; Recovery</t>
        </is>
      </c>
      <c r="C10" s="2" t="inlineStr">
        <is>
          <t>Recover</t>
        </is>
      </c>
      <c r="D10" s="3" t="inlineStr">
        <is>
          <t>Insecure API on Mobile Delivery App (APAC)</t>
        </is>
      </c>
      <c r="E10" s="3" t="inlineStr">
        <is>
          <t>Rushed development cycle</t>
        </is>
      </c>
      <c r="F10" s="3" t="inlineStr">
        <is>
          <t>Driver route data scraped by competitors</t>
        </is>
      </c>
      <c r="G10" s="3" t="inlineStr">
        <is>
          <t>Loss of competitive advantage and privacy violation</t>
        </is>
      </c>
      <c r="H10" s="3" t="inlineStr">
        <is>
          <t>App store security reviews</t>
        </is>
      </c>
      <c r="I10" s="3" t="inlineStr">
        <is>
          <t>No API rate limiting or authentication checks</t>
        </is>
      </c>
      <c r="J10" s="3" t="inlineStr">
        <is>
          <t>Audit all mobile APIs and implement rate limiting</t>
        </is>
      </c>
      <c r="K10" s="2" t="inlineStr">
        <is>
          <t>AppSec</t>
        </is>
      </c>
      <c r="L10" s="2" t="inlineStr">
        <is>
          <t>2026-09-24</t>
        </is>
      </c>
      <c r="M10" s="2" t="inlineStr">
        <is>
          <t>Open</t>
        </is>
      </c>
      <c r="N10" s="2" t="n">
        <v>3</v>
      </c>
      <c r="O10" s="2" t="n">
        <v>3</v>
      </c>
      <c r="P10" s="2">
        <f>N10*O10</f>
        <v/>
      </c>
      <c r="Q10" s="2">
        <f>IF(P10&gt;=15, "Critical", IF(P10&gt;=10, "High", IF(P10&gt;=5, "Medium", "Low")))</f>
        <v/>
      </c>
    </row>
    <row r="11" ht="29" customHeight="1">
      <c r="A11" s="4" t="inlineStr">
        <is>
          <t>R-010</t>
        </is>
      </c>
      <c r="B11" s="4" t="inlineStr">
        <is>
          <t>Backup &amp; Recovery</t>
        </is>
      </c>
      <c r="C11" s="4" t="inlineStr">
        <is>
          <t>Recover</t>
        </is>
      </c>
      <c r="D11" s="5" t="inlineStr">
        <is>
          <t>Missing Endpoint EDR on Contractor Laptops (NA)</t>
        </is>
      </c>
      <c r="E11" s="5" t="inlineStr">
        <is>
          <t>BYOD policy for seasonal warehouse contractors</t>
        </is>
      </c>
      <c r="F11" s="5" t="inlineStr">
        <is>
          <t>Contractor laptop introduces malware</t>
        </is>
      </c>
      <c r="G11" s="5" t="inlineStr">
        <is>
          <t>Local network infection</t>
        </is>
      </c>
      <c r="H11" s="5" t="inlineStr">
        <is>
          <t>Basic antivirus</t>
        </is>
      </c>
      <c r="I11" s="5" t="inlineStr">
        <is>
          <t>No advanced threat hunting or EDR</t>
        </is>
      </c>
      <c r="J11" s="5" t="inlineStr">
        <is>
          <t>Require virtual desktop (VDI) for all BYOD contractors</t>
        </is>
      </c>
      <c r="K11" s="4" t="inlineStr">
        <is>
          <t>Endpoint Sec</t>
        </is>
      </c>
      <c r="L11" s="4" t="inlineStr">
        <is>
          <t>2026-08-24</t>
        </is>
      </c>
      <c r="M11" s="4" t="inlineStr">
        <is>
          <t>In Progress</t>
        </is>
      </c>
      <c r="N11" s="4" t="n">
        <v>4</v>
      </c>
      <c r="O11" s="4" t="n">
        <v>4</v>
      </c>
      <c r="P11" s="4">
        <f>N11*O11</f>
        <v/>
      </c>
      <c r="Q11" s="4">
        <f>IF(P11&gt;=15, "Critical", IF(P11&gt;=10, "High", IF(P11&gt;=5, "Medium", "Low")))</f>
        <v/>
      </c>
    </row>
    <row r="12" ht="29" customHeight="1">
      <c r="A12" s="2" t="inlineStr">
        <is>
          <t>R-011</t>
        </is>
      </c>
      <c r="B12" s="2" t="inlineStr">
        <is>
          <t>Backup &amp; Recovery</t>
        </is>
      </c>
      <c r="C12" s="2" t="inlineStr">
        <is>
          <t>Recover</t>
        </is>
      </c>
      <c r="D12" s="3" t="inlineStr">
        <is>
          <t>Overprivileged Cloud Admins (Global)</t>
        </is>
      </c>
      <c r="E12" s="3" t="inlineStr">
        <is>
          <t>Role creep over several years</t>
        </is>
      </c>
      <c r="F12" s="3" t="inlineStr">
        <is>
          <t>Insider threat or hijacked admin account</t>
        </is>
      </c>
      <c r="G12" s="3" t="inlineStr">
        <is>
          <t>Complete deletion of cloud storage buckets</t>
        </is>
      </c>
      <c r="H12" s="3" t="inlineStr">
        <is>
          <t>Annual access reviews</t>
        </is>
      </c>
      <c r="I12" s="3" t="inlineStr">
        <is>
          <t>Too much standing privilege, no Just-in-Time access</t>
        </is>
      </c>
      <c r="J12" s="3" t="inlineStr">
        <is>
          <t>Implement Just-in-Time (JIT) cloud access</t>
        </is>
      </c>
      <c r="K12" s="2" t="inlineStr">
        <is>
          <t>Cloud Sec</t>
        </is>
      </c>
      <c r="L12" s="2" t="inlineStr">
        <is>
          <t>2026-08-20</t>
        </is>
      </c>
      <c r="M12" s="2" t="inlineStr">
        <is>
          <t>Open</t>
        </is>
      </c>
      <c r="N12" s="2" t="n">
        <v>5</v>
      </c>
      <c r="O12" s="2" t="n">
        <v>4</v>
      </c>
      <c r="P12" s="2">
        <f>N12*O12</f>
        <v/>
      </c>
      <c r="Q12" s="2">
        <f>IF(P12&gt;=15, "Critical", IF(P12&gt;=10, "High", IF(P12&gt;=5, "Medium", "Low")))</f>
        <v/>
      </c>
    </row>
    <row r="13" ht="29" customHeight="1">
      <c r="A13" s="4" t="inlineStr">
        <is>
          <t>R-012</t>
        </is>
      </c>
      <c r="B13" s="4" t="inlineStr">
        <is>
          <t>Vulnerability Management</t>
        </is>
      </c>
      <c r="C13" s="4" t="inlineStr">
        <is>
          <t>Identify</t>
        </is>
      </c>
      <c r="D13" s="5" t="inlineStr">
        <is>
          <t>Missing Endpoint EDR on Contractor Laptops (APAC)</t>
        </is>
      </c>
      <c r="E13" s="5" t="inlineStr">
        <is>
          <t>BYOD policy for seasonal warehouse contractors</t>
        </is>
      </c>
      <c r="F13" s="5" t="inlineStr">
        <is>
          <t>Contractor laptop introduces malware</t>
        </is>
      </c>
      <c r="G13" s="5" t="inlineStr">
        <is>
          <t>Local network infection</t>
        </is>
      </c>
      <c r="H13" s="5" t="inlineStr">
        <is>
          <t>Basic antivirus</t>
        </is>
      </c>
      <c r="I13" s="5" t="inlineStr">
        <is>
          <t>No advanced threat hunting or EDR</t>
        </is>
      </c>
      <c r="J13" s="5" t="inlineStr">
        <is>
          <t>Require virtual desktop (VDI) for all BYOD contractors</t>
        </is>
      </c>
      <c r="K13" s="4" t="inlineStr">
        <is>
          <t>Endpoint Sec</t>
        </is>
      </c>
      <c r="L13" s="4" t="inlineStr">
        <is>
          <t>2026-08-28</t>
        </is>
      </c>
      <c r="M13" s="4" t="inlineStr">
        <is>
          <t>In Progress</t>
        </is>
      </c>
      <c r="N13" s="4" t="n">
        <v>3</v>
      </c>
      <c r="O13" s="4" t="n">
        <v>1</v>
      </c>
      <c r="P13" s="4">
        <f>N13*O13</f>
        <v/>
      </c>
      <c r="Q13" s="4">
        <f>IF(P13&gt;=15, "Critical", IF(P13&gt;=10, "High", IF(P13&gt;=5, "Medium", "Low")))</f>
        <v/>
      </c>
    </row>
    <row r="14" ht="29" customHeight="1">
      <c r="A14" s="2" t="inlineStr">
        <is>
          <t>R-013</t>
        </is>
      </c>
      <c r="B14" s="2" t="inlineStr">
        <is>
          <t>Vulnerability Management</t>
        </is>
      </c>
      <c r="C14" s="2" t="inlineStr">
        <is>
          <t>Identify</t>
        </is>
      </c>
      <c r="D14" s="3" t="inlineStr">
        <is>
          <t>Insecure API on Mobile Delivery App (EU)</t>
        </is>
      </c>
      <c r="E14" s="3" t="inlineStr">
        <is>
          <t>Rushed development cycle</t>
        </is>
      </c>
      <c r="F14" s="3" t="inlineStr">
        <is>
          <t>Driver route data scraped by competitors</t>
        </is>
      </c>
      <c r="G14" s="3" t="inlineStr">
        <is>
          <t>Loss of competitive advantage and privacy violation</t>
        </is>
      </c>
      <c r="H14" s="3" t="inlineStr">
        <is>
          <t>App store security reviews</t>
        </is>
      </c>
      <c r="I14" s="3" t="inlineStr">
        <is>
          <t>No API rate limiting or authentication checks</t>
        </is>
      </c>
      <c r="J14" s="3" t="inlineStr">
        <is>
          <t>Audit all mobile APIs and implement rate limiting</t>
        </is>
      </c>
      <c r="K14" s="2" t="inlineStr">
        <is>
          <t>AppSec</t>
        </is>
      </c>
      <c r="L14" s="2" t="inlineStr">
        <is>
          <t>N/A</t>
        </is>
      </c>
      <c r="M14" s="2" t="inlineStr">
        <is>
          <t>Closed</t>
        </is>
      </c>
      <c r="N14" s="2" t="n">
        <v>5</v>
      </c>
      <c r="O14" s="2" t="n">
        <v>4</v>
      </c>
      <c r="P14" s="2">
        <f>N14*O14</f>
        <v/>
      </c>
      <c r="Q14" s="2">
        <f>IF(P14&gt;=15, "Critical", IF(P14&gt;=10, "High", IF(P14&gt;=5, "Medium", "Low")))</f>
        <v/>
      </c>
    </row>
    <row r="15" ht="29" customHeight="1">
      <c r="A15" s="4" t="inlineStr">
        <is>
          <t>R-014</t>
        </is>
      </c>
      <c r="B15" s="4" t="inlineStr">
        <is>
          <t>Logging &amp; Monitoring</t>
        </is>
      </c>
      <c r="C15" s="4" t="inlineStr">
        <is>
          <t>Detect</t>
        </is>
      </c>
      <c r="D15" s="5" t="inlineStr">
        <is>
          <t>Unpatched Warehouse IoT Devices (NA)</t>
        </is>
      </c>
      <c r="E15" s="5" t="inlineStr">
        <is>
          <t>Outdated firmware on barcode scanners</t>
        </is>
      </c>
      <c r="F15" s="5" t="inlineStr">
        <is>
          <t>Malware infection spreading through warehouse LAN</t>
        </is>
      </c>
      <c r="G15" s="5" t="inlineStr">
        <is>
          <t>Sortation center downtime</t>
        </is>
      </c>
      <c r="H15" s="5" t="inlineStr">
        <is>
          <t>Segmented guest network</t>
        </is>
      </c>
      <c r="I15" s="5" t="inlineStr">
        <is>
          <t>No IoT patch management</t>
        </is>
      </c>
      <c r="J15" s="5" t="inlineStr">
        <is>
          <t>Implement automated IoT firmware updates</t>
        </is>
      </c>
      <c r="K15" s="4" t="inlineStr">
        <is>
          <t>OT Security</t>
        </is>
      </c>
      <c r="L15" s="4" t="inlineStr">
        <is>
          <t>2026-08-25</t>
        </is>
      </c>
      <c r="M15" s="4" t="inlineStr">
        <is>
          <t>Open</t>
        </is>
      </c>
      <c r="N15" s="4" t="n">
        <v>1</v>
      </c>
      <c r="O15" s="4" t="n">
        <v>3</v>
      </c>
      <c r="P15" s="4">
        <f>N15*O15</f>
        <v/>
      </c>
      <c r="Q15" s="4">
        <f>IF(P15&gt;=15, "Critical", IF(P15&gt;=10, "High", IF(P15&gt;=5, "Medium", "Low")))</f>
        <v/>
      </c>
    </row>
    <row r="16" ht="29" customHeight="1">
      <c r="A16" s="2" t="inlineStr">
        <is>
          <t>R-015</t>
        </is>
      </c>
      <c r="B16" s="2" t="inlineStr">
        <is>
          <t>Identity &amp; Access</t>
        </is>
      </c>
      <c r="C16" s="2" t="inlineStr">
        <is>
          <t>Protect</t>
        </is>
      </c>
      <c r="D16" s="3" t="inlineStr">
        <is>
          <t>Third-Party HVAC Vendor Access (NA)</t>
        </is>
      </c>
      <c r="E16" s="3" t="inlineStr">
        <is>
          <t>HVAC vendor given direct VPN access</t>
        </is>
      </c>
      <c r="F16" s="3" t="inlineStr">
        <is>
          <t>Vendor compromised, attackers pivot to corporate network</t>
        </is>
      </c>
      <c r="G16" s="3" t="inlineStr">
        <is>
          <t>Massive corporate data breach</t>
        </is>
      </c>
      <c r="H16" s="3" t="inlineStr">
        <is>
          <t>VPN requirements</t>
        </is>
      </c>
      <c r="I16" s="3" t="inlineStr">
        <is>
          <t>Vendor network not segmented from corporate LAN</t>
        </is>
      </c>
      <c r="J16" s="3" t="inlineStr">
        <is>
          <t>Enforce strict network segmentation for all facility vendors</t>
        </is>
      </c>
      <c r="K16" s="2" t="inlineStr">
        <is>
          <t>Vendor Risk</t>
        </is>
      </c>
      <c r="L16" s="2" t="inlineStr">
        <is>
          <t>2026-10-13</t>
        </is>
      </c>
      <c r="M16" s="2" t="inlineStr">
        <is>
          <t>In Progress</t>
        </is>
      </c>
      <c r="N16" s="2" t="n">
        <v>4</v>
      </c>
      <c r="O16" s="2" t="n">
        <v>3</v>
      </c>
      <c r="P16" s="2">
        <f>N16*O16</f>
        <v/>
      </c>
      <c r="Q16" s="2">
        <f>IF(P16&gt;=15, "Critical", IF(P16&gt;=10, "High", IF(P16&gt;=5, "Medium", "Low")))</f>
        <v/>
      </c>
    </row>
    <row r="17" ht="29" customHeight="1">
      <c r="A17" s="4" t="inlineStr">
        <is>
          <t>R-016</t>
        </is>
      </c>
      <c r="B17" s="4" t="inlineStr">
        <is>
          <t>Endpoint Security</t>
        </is>
      </c>
      <c r="C17" s="4" t="inlineStr">
        <is>
          <t>Protect</t>
        </is>
      </c>
      <c r="D17" s="5" t="inlineStr">
        <is>
          <t>Missing Endpoint EDR on Contractor Laptops (EU)</t>
        </is>
      </c>
      <c r="E17" s="5" t="inlineStr">
        <is>
          <t>BYOD policy for seasonal warehouse contractors</t>
        </is>
      </c>
      <c r="F17" s="5" t="inlineStr">
        <is>
          <t>Contractor laptop introduces malware</t>
        </is>
      </c>
      <c r="G17" s="5" t="inlineStr">
        <is>
          <t>Local network infection</t>
        </is>
      </c>
      <c r="H17" s="5" t="inlineStr">
        <is>
          <t>Basic antivirus</t>
        </is>
      </c>
      <c r="I17" s="5" t="inlineStr">
        <is>
          <t>No advanced threat hunting or EDR</t>
        </is>
      </c>
      <c r="J17" s="5" t="inlineStr">
        <is>
          <t>Require virtual desktop (VDI) for all BYOD contractors</t>
        </is>
      </c>
      <c r="K17" s="4" t="inlineStr">
        <is>
          <t>Endpoint Sec</t>
        </is>
      </c>
      <c r="L17" s="4" t="inlineStr">
        <is>
          <t>2026-11-22</t>
        </is>
      </c>
      <c r="M17" s="4" t="inlineStr">
        <is>
          <t>In Progress</t>
        </is>
      </c>
      <c r="N17" s="4" t="n">
        <v>5</v>
      </c>
      <c r="O17" s="4" t="n">
        <v>3</v>
      </c>
      <c r="P17" s="4">
        <f>N17*O17</f>
        <v/>
      </c>
      <c r="Q17" s="4">
        <f>IF(P17&gt;=15, "Critical", IF(P17&gt;=10, "High", IF(P17&gt;=5, "Medium", "Low")))</f>
        <v/>
      </c>
    </row>
    <row r="18" ht="29" customHeight="1">
      <c r="A18" s="2" t="inlineStr">
        <is>
          <t>R-017</t>
        </is>
      </c>
      <c r="B18" s="2" t="inlineStr">
        <is>
          <t>Logging &amp; Monitoring</t>
        </is>
      </c>
      <c r="C18" s="2" t="inlineStr">
        <is>
          <t>Detect</t>
        </is>
      </c>
      <c r="D18" s="3" t="inlineStr">
        <is>
          <t>Insecure API on Mobile Delivery App (NA)</t>
        </is>
      </c>
      <c r="E18" s="3" t="inlineStr">
        <is>
          <t>Rushed development cycle</t>
        </is>
      </c>
      <c r="F18" s="3" t="inlineStr">
        <is>
          <t>Driver route data scraped by competitors</t>
        </is>
      </c>
      <c r="G18" s="3" t="inlineStr">
        <is>
          <t>Loss of competitive advantage and privacy violation</t>
        </is>
      </c>
      <c r="H18" s="3" t="inlineStr">
        <is>
          <t>App store security reviews</t>
        </is>
      </c>
      <c r="I18" s="3" t="inlineStr">
        <is>
          <t>No API rate limiting or authentication checks</t>
        </is>
      </c>
      <c r="J18" s="3" t="inlineStr">
        <is>
          <t>Audit all mobile APIs and implement rate limiting</t>
        </is>
      </c>
      <c r="K18" s="2" t="inlineStr">
        <is>
          <t>AppSec</t>
        </is>
      </c>
      <c r="L18" s="2" t="inlineStr">
        <is>
          <t>2026-08-26</t>
        </is>
      </c>
      <c r="M18" s="2" t="inlineStr">
        <is>
          <t>Open</t>
        </is>
      </c>
      <c r="N18" s="2" t="n">
        <v>5</v>
      </c>
      <c r="O18" s="2" t="n">
        <v>4</v>
      </c>
      <c r="P18" s="2">
        <f>N18*O18</f>
        <v/>
      </c>
      <c r="Q18" s="2">
        <f>IF(P18&gt;=15, "Critical", IF(P18&gt;=10, "High", IF(P18&gt;=5, "Medium", "Low")))</f>
        <v/>
      </c>
    </row>
    <row r="19" ht="29" customHeight="1">
      <c r="A19" s="4" t="inlineStr">
        <is>
          <t>R-018</t>
        </is>
      </c>
      <c r="B19" s="4" t="inlineStr">
        <is>
          <t>Backup &amp; Recovery</t>
        </is>
      </c>
      <c r="C19" s="4" t="inlineStr">
        <is>
          <t>Recover</t>
        </is>
      </c>
      <c r="D19" s="5" t="inlineStr">
        <is>
          <t>Lack of MFA on HR Portal (EU)</t>
        </is>
      </c>
      <c r="E19" s="5" t="inlineStr">
        <is>
          <t>Legacy authentication system</t>
        </is>
      </c>
      <c r="F19" s="5" t="inlineStr">
        <is>
          <t>Phishing attack leading to account takeover</t>
        </is>
      </c>
      <c r="G19" s="5" t="inlineStr">
        <is>
          <t>Payroll fraud and employee data theft</t>
        </is>
      </c>
      <c r="H19" s="5" t="inlineStr">
        <is>
          <t>Password complexity rules</t>
        </is>
      </c>
      <c r="I19" s="5" t="inlineStr">
        <is>
          <t>No multi-factor authentication</t>
        </is>
      </c>
      <c r="J19" s="5" t="inlineStr">
        <is>
          <t>Roll out FIDO2 hardware keys</t>
        </is>
      </c>
      <c r="K19" s="4" t="inlineStr">
        <is>
          <t>Identity Team</t>
        </is>
      </c>
      <c r="L19" s="4" t="inlineStr">
        <is>
          <t>2026-12-09</t>
        </is>
      </c>
      <c r="M19" s="4" t="inlineStr">
        <is>
          <t>In Progress</t>
        </is>
      </c>
      <c r="N19" s="4" t="n">
        <v>2</v>
      </c>
      <c r="O19" s="4" t="n">
        <v>1</v>
      </c>
      <c r="P19" s="4">
        <f>N19*O19</f>
        <v/>
      </c>
      <c r="Q19" s="4">
        <f>IF(P19&gt;=15, "Critical", IF(P19&gt;=10, "High", IF(P19&gt;=5, "Medium", "Low")))</f>
        <v/>
      </c>
    </row>
    <row r="20" ht="29" customHeight="1">
      <c r="A20" s="2" t="inlineStr">
        <is>
          <t>R-019</t>
        </is>
      </c>
      <c r="B20" s="2" t="inlineStr">
        <is>
          <t>Logging &amp; Monitoring</t>
        </is>
      </c>
      <c r="C20" s="2" t="inlineStr">
        <is>
          <t>Detect</t>
        </is>
      </c>
      <c r="D20" s="3" t="inlineStr">
        <is>
          <t>Untested Regional Backups (APAC)</t>
        </is>
      </c>
      <c r="E20" s="3" t="inlineStr">
        <is>
          <t>No scheduled disaster recovery drills</t>
        </is>
      </c>
      <c r="F20" s="3" t="inlineStr">
        <is>
          <t>Ransomware hits regional hub</t>
        </is>
      </c>
      <c r="G20" s="3" t="inlineStr">
        <is>
          <t>Unable to restore data within 24 hours</t>
        </is>
      </c>
      <c r="H20" s="3" t="inlineStr">
        <is>
          <t>Weekly cloud backups</t>
        </is>
      </c>
      <c r="I20" s="3" t="inlineStr">
        <is>
          <t>Backups have never been tested for restoration speed</t>
        </is>
      </c>
      <c r="J20" s="3" t="inlineStr">
        <is>
          <t>Conduct quarterly DR tabletop and restore tests</t>
        </is>
      </c>
      <c r="K20" s="2" t="inlineStr">
        <is>
          <t>Disaster Recovery</t>
        </is>
      </c>
      <c r="L20" s="2" t="inlineStr">
        <is>
          <t>N/A</t>
        </is>
      </c>
      <c r="M20" s="2" t="inlineStr">
        <is>
          <t>Closed</t>
        </is>
      </c>
      <c r="N20" s="2" t="n">
        <v>2</v>
      </c>
      <c r="O20" s="2" t="n">
        <v>4</v>
      </c>
      <c r="P20" s="2">
        <f>N20*O20</f>
        <v/>
      </c>
      <c r="Q20" s="2">
        <f>IF(P20&gt;=15, "Critical", IF(P20&gt;=10, "High", IF(P20&gt;=5, "Medium", "Low")))</f>
        <v/>
      </c>
    </row>
    <row r="21" ht="29" customHeight="1">
      <c r="A21" s="4" t="inlineStr">
        <is>
          <t>R-020</t>
        </is>
      </c>
      <c r="B21" s="4" t="inlineStr">
        <is>
          <t>Cloud Security</t>
        </is>
      </c>
      <c r="C21" s="4" t="inlineStr">
        <is>
          <t>Protect</t>
        </is>
      </c>
      <c r="D21" s="5" t="inlineStr">
        <is>
          <t>Third-Party HVAC Vendor Access (EU)</t>
        </is>
      </c>
      <c r="E21" s="5" t="inlineStr">
        <is>
          <t>HVAC vendor given direct VPN access</t>
        </is>
      </c>
      <c r="F21" s="5" t="inlineStr">
        <is>
          <t>Vendor compromised, attackers pivot to corporate network</t>
        </is>
      </c>
      <c r="G21" s="5" t="inlineStr">
        <is>
          <t>Massive corporate data breach</t>
        </is>
      </c>
      <c r="H21" s="5" t="inlineStr">
        <is>
          <t>VPN requirements</t>
        </is>
      </c>
      <c r="I21" s="5" t="inlineStr">
        <is>
          <t>Vendor network not segmented from corporate LAN</t>
        </is>
      </c>
      <c r="J21" s="5" t="inlineStr">
        <is>
          <t>Enforce strict network segmentation for all facility vendors</t>
        </is>
      </c>
      <c r="K21" s="4" t="inlineStr">
        <is>
          <t>Vendor Risk</t>
        </is>
      </c>
      <c r="L21" s="4" t="inlineStr">
        <is>
          <t>2026-08-21</t>
        </is>
      </c>
      <c r="M21" s="4" t="inlineStr">
        <is>
          <t>Open</t>
        </is>
      </c>
      <c r="N21" s="4" t="n">
        <v>5</v>
      </c>
      <c r="O21" s="4" t="n">
        <v>2</v>
      </c>
      <c r="P21" s="4">
        <f>N21*O21</f>
        <v/>
      </c>
      <c r="Q21" s="4">
        <f>IF(P21&gt;=15, "Critical", IF(P21&gt;=10, "High", IF(P21&gt;=5, "Medium", "Low")))</f>
        <v/>
      </c>
    </row>
    <row r="22" ht="29" customHeight="1">
      <c r="A22" s="2" t="inlineStr">
        <is>
          <t>R-021</t>
        </is>
      </c>
      <c r="B22" s="2" t="inlineStr">
        <is>
          <t>Endpoint Security</t>
        </is>
      </c>
      <c r="C22" s="2" t="inlineStr">
        <is>
          <t>Protect</t>
        </is>
      </c>
      <c r="D22" s="3" t="inlineStr">
        <is>
          <t>Third-Party HVAC Vendor Access (EU)</t>
        </is>
      </c>
      <c r="E22" s="3" t="inlineStr">
        <is>
          <t>HVAC vendor given direct VPN access</t>
        </is>
      </c>
      <c r="F22" s="3" t="inlineStr">
        <is>
          <t>Vendor compromised, attackers pivot to corporate network</t>
        </is>
      </c>
      <c r="G22" s="3" t="inlineStr">
        <is>
          <t>Massive corporate data breach</t>
        </is>
      </c>
      <c r="H22" s="3" t="inlineStr">
        <is>
          <t>VPN requirements</t>
        </is>
      </c>
      <c r="I22" s="3" t="inlineStr">
        <is>
          <t>Vendor network not segmented from corporate LAN</t>
        </is>
      </c>
      <c r="J22" s="3" t="inlineStr">
        <is>
          <t>Enforce strict network segmentation for all facility vendors</t>
        </is>
      </c>
      <c r="K22" s="2" t="inlineStr">
        <is>
          <t>Vendor Risk</t>
        </is>
      </c>
      <c r="L22" s="2" t="inlineStr">
        <is>
          <t>N/A</t>
        </is>
      </c>
      <c r="M22" s="2" t="inlineStr">
        <is>
          <t>Accepted</t>
        </is>
      </c>
      <c r="N22" s="2" t="n">
        <v>4</v>
      </c>
      <c r="O22" s="2" t="n">
        <v>5</v>
      </c>
      <c r="P22" s="2">
        <f>N22*O22</f>
        <v/>
      </c>
      <c r="Q22" s="2">
        <f>IF(P22&gt;=15, "Critical", IF(P22&gt;=10, "High", IF(P22&gt;=5, "Medium", "Low")))</f>
        <v/>
      </c>
    </row>
    <row r="23" ht="29" customHeight="1">
      <c r="A23" s="4" t="inlineStr">
        <is>
          <t>R-022</t>
        </is>
      </c>
      <c r="B23" s="4" t="inlineStr">
        <is>
          <t>Vulnerability Management</t>
        </is>
      </c>
      <c r="C23" s="4" t="inlineStr">
        <is>
          <t>Identify</t>
        </is>
      </c>
      <c r="D23" s="5" t="inlineStr">
        <is>
          <t>Overprivileged Cloud Admins (EU)</t>
        </is>
      </c>
      <c r="E23" s="5" t="inlineStr">
        <is>
          <t>Role creep over several years</t>
        </is>
      </c>
      <c r="F23" s="5" t="inlineStr">
        <is>
          <t>Insider threat or hijacked admin account</t>
        </is>
      </c>
      <c r="G23" s="5" t="inlineStr">
        <is>
          <t>Complete deletion of cloud storage buckets</t>
        </is>
      </c>
      <c r="H23" s="5" t="inlineStr">
        <is>
          <t>Annual access reviews</t>
        </is>
      </c>
      <c r="I23" s="5" t="inlineStr">
        <is>
          <t>Too much standing privilege, no Just-in-Time access</t>
        </is>
      </c>
      <c r="J23" s="5" t="inlineStr">
        <is>
          <t>Implement Just-in-Time (JIT) cloud access</t>
        </is>
      </c>
      <c r="K23" s="4" t="inlineStr">
        <is>
          <t>Cloud Sec</t>
        </is>
      </c>
      <c r="L23" s="4" t="inlineStr">
        <is>
          <t>2026-10-21</t>
        </is>
      </c>
      <c r="M23" s="4" t="inlineStr">
        <is>
          <t>Open</t>
        </is>
      </c>
      <c r="N23" s="4" t="n">
        <v>1</v>
      </c>
      <c r="O23" s="4" t="n">
        <v>4</v>
      </c>
      <c r="P23" s="4">
        <f>N23*O23</f>
        <v/>
      </c>
      <c r="Q23" s="4">
        <f>IF(P23&gt;=15, "Critical", IF(P23&gt;=10, "High", IF(P23&gt;=5, "Medium", "Low")))</f>
        <v/>
      </c>
    </row>
    <row r="24" ht="29" customHeight="1">
      <c r="A24" s="2" t="inlineStr">
        <is>
          <t>R-023</t>
        </is>
      </c>
      <c r="B24" s="2" t="inlineStr">
        <is>
          <t>Cloud Security</t>
        </is>
      </c>
      <c r="C24" s="2" t="inlineStr">
        <is>
          <t>Protect</t>
        </is>
      </c>
      <c r="D24" s="3" t="inlineStr">
        <is>
          <t>Lack of MFA on HR Portal (EU)</t>
        </is>
      </c>
      <c r="E24" s="3" t="inlineStr">
        <is>
          <t>Legacy authentication system</t>
        </is>
      </c>
      <c r="F24" s="3" t="inlineStr">
        <is>
          <t>Phishing attack leading to account takeover</t>
        </is>
      </c>
      <c r="G24" s="3" t="inlineStr">
        <is>
          <t>Payroll fraud and employee data theft</t>
        </is>
      </c>
      <c r="H24" s="3" t="inlineStr">
        <is>
          <t>Password complexity rules</t>
        </is>
      </c>
      <c r="I24" s="3" t="inlineStr">
        <is>
          <t>No multi-factor authentication</t>
        </is>
      </c>
      <c r="J24" s="3" t="inlineStr">
        <is>
          <t>Roll out FIDO2 hardware keys</t>
        </is>
      </c>
      <c r="K24" s="2" t="inlineStr">
        <is>
          <t>Identity Team</t>
        </is>
      </c>
      <c r="L24" s="2" t="inlineStr">
        <is>
          <t>N/A</t>
        </is>
      </c>
      <c r="M24" s="2" t="inlineStr">
        <is>
          <t>Closed</t>
        </is>
      </c>
      <c r="N24" s="2" t="n">
        <v>4</v>
      </c>
      <c r="O24" s="2" t="n">
        <v>4</v>
      </c>
      <c r="P24" s="2">
        <f>N24*O24</f>
        <v/>
      </c>
      <c r="Q24" s="2">
        <f>IF(P24&gt;=15, "Critical", IF(P24&gt;=10, "High", IF(P24&gt;=5, "Medium", "Low")))</f>
        <v/>
      </c>
    </row>
    <row r="25" ht="29" customHeight="1">
      <c r="A25" s="4" t="inlineStr">
        <is>
          <t>R-024</t>
        </is>
      </c>
      <c r="B25" s="4" t="inlineStr">
        <is>
          <t>Identity &amp; Access</t>
        </is>
      </c>
      <c r="C25" s="4" t="inlineStr">
        <is>
          <t>Protect</t>
        </is>
      </c>
      <c r="D25" s="5" t="inlineStr">
        <is>
          <t>Untested Regional Backups (APAC)</t>
        </is>
      </c>
      <c r="E25" s="5" t="inlineStr">
        <is>
          <t>No scheduled disaster recovery drills</t>
        </is>
      </c>
      <c r="F25" s="5" t="inlineStr">
        <is>
          <t>Ransomware hits regional hub</t>
        </is>
      </c>
      <c r="G25" s="5" t="inlineStr">
        <is>
          <t>Unable to restore data within 24 hours</t>
        </is>
      </c>
      <c r="H25" s="5" t="inlineStr">
        <is>
          <t>Weekly cloud backups</t>
        </is>
      </c>
      <c r="I25" s="5" t="inlineStr">
        <is>
          <t>Backups have never been tested for restoration speed</t>
        </is>
      </c>
      <c r="J25" s="5" t="inlineStr">
        <is>
          <t>Conduct quarterly DR tabletop and restore tests</t>
        </is>
      </c>
      <c r="K25" s="4" t="inlineStr">
        <is>
          <t>Disaster Recovery</t>
        </is>
      </c>
      <c r="L25" s="4" t="inlineStr">
        <is>
          <t>N/A</t>
        </is>
      </c>
      <c r="M25" s="4" t="inlineStr">
        <is>
          <t>Closed</t>
        </is>
      </c>
      <c r="N25" s="4" t="n">
        <v>4</v>
      </c>
      <c r="O25" s="4" t="n">
        <v>4</v>
      </c>
      <c r="P25" s="4">
        <f>N25*O25</f>
        <v/>
      </c>
      <c r="Q25" s="4">
        <f>IF(P25&gt;=15, "Critical", IF(P25&gt;=10, "High", IF(P25&gt;=5, "Medium", "Low")))</f>
        <v/>
      </c>
    </row>
    <row r="26" ht="29" customHeight="1">
      <c r="A26" s="2" t="inlineStr">
        <is>
          <t>R-025</t>
        </is>
      </c>
      <c r="B26" s="2" t="inlineStr">
        <is>
          <t>Vulnerability Management</t>
        </is>
      </c>
      <c r="C26" s="2" t="inlineStr">
        <is>
          <t>Identify</t>
        </is>
      </c>
      <c r="D26" s="3" t="inlineStr">
        <is>
          <t>Insecure API on Mobile Delivery App (LATAM)</t>
        </is>
      </c>
      <c r="E26" s="3" t="inlineStr">
        <is>
          <t>Rushed development cycle</t>
        </is>
      </c>
      <c r="F26" s="3" t="inlineStr">
        <is>
          <t>Driver route data scraped by competitors</t>
        </is>
      </c>
      <c r="G26" s="3" t="inlineStr">
        <is>
          <t>Loss of competitive advantage and privacy violation</t>
        </is>
      </c>
      <c r="H26" s="3" t="inlineStr">
        <is>
          <t>App store security reviews</t>
        </is>
      </c>
      <c r="I26" s="3" t="inlineStr">
        <is>
          <t>No API rate limiting or authentication checks</t>
        </is>
      </c>
      <c r="J26" s="3" t="inlineStr">
        <is>
          <t>Audit all mobile APIs and implement rate limiting</t>
        </is>
      </c>
      <c r="K26" s="2" t="inlineStr">
        <is>
          <t>AppSec</t>
        </is>
      </c>
      <c r="L26" s="2" t="inlineStr">
        <is>
          <t>2026-08-03</t>
        </is>
      </c>
      <c r="M26" s="2" t="inlineStr">
        <is>
          <t>Open</t>
        </is>
      </c>
      <c r="N26" s="2" t="n">
        <v>3</v>
      </c>
      <c r="O26" s="2" t="n">
        <v>4</v>
      </c>
      <c r="P26" s="2">
        <f>N26*O26</f>
        <v/>
      </c>
      <c r="Q26" s="2">
        <f>IF(P26&gt;=15, "Critical", IF(P26&gt;=10, "High", IF(P26&gt;=5, "Medium", "Low")))</f>
        <v/>
      </c>
    </row>
    <row r="27" ht="29" customHeight="1">
      <c r="A27" s="4" t="inlineStr">
        <is>
          <t>R-026</t>
        </is>
      </c>
      <c r="B27" s="4" t="inlineStr">
        <is>
          <t>Third-Party Risk</t>
        </is>
      </c>
      <c r="C27" s="4" t="inlineStr">
        <is>
          <t>Identify</t>
        </is>
      </c>
      <c r="D27" s="5" t="inlineStr">
        <is>
          <t>Insecure API on Mobile Delivery App (APAC)</t>
        </is>
      </c>
      <c r="E27" s="5" t="inlineStr">
        <is>
          <t>Rushed development cycle</t>
        </is>
      </c>
      <c r="F27" s="5" t="inlineStr">
        <is>
          <t>Driver route data scraped by competitors</t>
        </is>
      </c>
      <c r="G27" s="5" t="inlineStr">
        <is>
          <t>Loss of competitive advantage and privacy violation</t>
        </is>
      </c>
      <c r="H27" s="5" t="inlineStr">
        <is>
          <t>App store security reviews</t>
        </is>
      </c>
      <c r="I27" s="5" t="inlineStr">
        <is>
          <t>No API rate limiting or authentication checks</t>
        </is>
      </c>
      <c r="J27" s="5" t="inlineStr">
        <is>
          <t>Audit all mobile APIs and implement rate limiting</t>
        </is>
      </c>
      <c r="K27" s="4" t="inlineStr">
        <is>
          <t>AppSec</t>
        </is>
      </c>
      <c r="L27" s="4" t="inlineStr">
        <is>
          <t>N/A</t>
        </is>
      </c>
      <c r="M27" s="4" t="inlineStr">
        <is>
          <t>Closed</t>
        </is>
      </c>
      <c r="N27" s="4" t="n">
        <v>1</v>
      </c>
      <c r="O27" s="4" t="n">
        <v>4</v>
      </c>
      <c r="P27" s="4">
        <f>N27*O27</f>
        <v/>
      </c>
      <c r="Q27" s="4">
        <f>IF(P27&gt;=15, "Critical", IF(P27&gt;=10, "High", IF(P27&gt;=5, "Medium", "Low")))</f>
        <v/>
      </c>
    </row>
    <row r="28" ht="29" customHeight="1">
      <c r="A28" s="2" t="inlineStr">
        <is>
          <t>R-027</t>
        </is>
      </c>
      <c r="B28" s="2" t="inlineStr">
        <is>
          <t>Cloud Security</t>
        </is>
      </c>
      <c r="C28" s="2" t="inlineStr">
        <is>
          <t>Protect</t>
        </is>
      </c>
      <c r="D28" s="3" t="inlineStr">
        <is>
          <t>Missing Endpoint EDR on Contractor Laptops (Global)</t>
        </is>
      </c>
      <c r="E28" s="3" t="inlineStr">
        <is>
          <t>BYOD policy for seasonal warehouse contractors</t>
        </is>
      </c>
      <c r="F28" s="3" t="inlineStr">
        <is>
          <t>Contractor laptop introduces malware</t>
        </is>
      </c>
      <c r="G28" s="3" t="inlineStr">
        <is>
          <t>Local network infection</t>
        </is>
      </c>
      <c r="H28" s="3" t="inlineStr">
        <is>
          <t>Basic antivirus</t>
        </is>
      </c>
      <c r="I28" s="3" t="inlineStr">
        <is>
          <t>No advanced threat hunting or EDR</t>
        </is>
      </c>
      <c r="J28" s="3" t="inlineStr">
        <is>
          <t>Require virtual desktop (VDI) for all BYOD contractors</t>
        </is>
      </c>
      <c r="K28" s="2" t="inlineStr">
        <is>
          <t>Endpoint Sec</t>
        </is>
      </c>
      <c r="L28" s="2" t="inlineStr">
        <is>
          <t>2026-11-11</t>
        </is>
      </c>
      <c r="M28" s="2" t="inlineStr">
        <is>
          <t>In Progress</t>
        </is>
      </c>
      <c r="N28" s="2" t="n">
        <v>2</v>
      </c>
      <c r="O28" s="2" t="n">
        <v>1</v>
      </c>
      <c r="P28" s="2">
        <f>N28*O28</f>
        <v/>
      </c>
      <c r="Q28" s="2">
        <f>IF(P28&gt;=15, "Critical", IF(P28&gt;=10, "High", IF(P28&gt;=5, "Medium", "Low")))</f>
        <v/>
      </c>
    </row>
    <row r="29" ht="29" customHeight="1">
      <c r="A29" s="4" t="inlineStr">
        <is>
          <t>R-028</t>
        </is>
      </c>
      <c r="B29" s="4" t="inlineStr">
        <is>
          <t>Identity &amp; Access</t>
        </is>
      </c>
      <c r="C29" s="4" t="inlineStr">
        <is>
          <t>Protect</t>
        </is>
      </c>
      <c r="D29" s="5" t="inlineStr">
        <is>
          <t>Missing Endpoint EDR on Contractor Laptops (NA)</t>
        </is>
      </c>
      <c r="E29" s="5" t="inlineStr">
        <is>
          <t>BYOD policy for seasonal warehouse contractors</t>
        </is>
      </c>
      <c r="F29" s="5" t="inlineStr">
        <is>
          <t>Contractor laptop introduces malware</t>
        </is>
      </c>
      <c r="G29" s="5" t="inlineStr">
        <is>
          <t>Local network infection</t>
        </is>
      </c>
      <c r="H29" s="5" t="inlineStr">
        <is>
          <t>Basic antivirus</t>
        </is>
      </c>
      <c r="I29" s="5" t="inlineStr">
        <is>
          <t>No advanced threat hunting or EDR</t>
        </is>
      </c>
      <c r="J29" s="5" t="inlineStr">
        <is>
          <t>Require virtual desktop (VDI) for all BYOD contractors</t>
        </is>
      </c>
      <c r="K29" s="4" t="inlineStr">
        <is>
          <t>Endpoint Sec</t>
        </is>
      </c>
      <c r="L29" s="4" t="inlineStr">
        <is>
          <t>2026-10-15</t>
        </is>
      </c>
      <c r="M29" s="4" t="inlineStr">
        <is>
          <t>Open</t>
        </is>
      </c>
      <c r="N29" s="4" t="n">
        <v>1</v>
      </c>
      <c r="O29" s="4" t="n">
        <v>2</v>
      </c>
      <c r="P29" s="4">
        <f>N29*O29</f>
        <v/>
      </c>
      <c r="Q29" s="4">
        <f>IF(P29&gt;=15, "Critical", IF(P29&gt;=10, "High", IF(P29&gt;=5, "Medium", "Low")))</f>
        <v/>
      </c>
    </row>
    <row r="30" ht="29" customHeight="1">
      <c r="A30" s="2" t="inlineStr">
        <is>
          <t>R-029</t>
        </is>
      </c>
      <c r="B30" s="2" t="inlineStr">
        <is>
          <t>Backup &amp; Recovery</t>
        </is>
      </c>
      <c r="C30" s="2" t="inlineStr">
        <is>
          <t>Recover</t>
        </is>
      </c>
      <c r="D30" s="3" t="inlineStr">
        <is>
          <t>Overprivileged Cloud Admins (APAC)</t>
        </is>
      </c>
      <c r="E30" s="3" t="inlineStr">
        <is>
          <t>Role creep over several years</t>
        </is>
      </c>
      <c r="F30" s="3" t="inlineStr">
        <is>
          <t>Insider threat or hijacked admin account</t>
        </is>
      </c>
      <c r="G30" s="3" t="inlineStr">
        <is>
          <t>Complete deletion of cloud storage buckets</t>
        </is>
      </c>
      <c r="H30" s="3" t="inlineStr">
        <is>
          <t>Annual access reviews</t>
        </is>
      </c>
      <c r="I30" s="3" t="inlineStr">
        <is>
          <t>Too much standing privilege, no Just-in-Time access</t>
        </is>
      </c>
      <c r="J30" s="3" t="inlineStr">
        <is>
          <t>Implement Just-in-Time (JIT) cloud access</t>
        </is>
      </c>
      <c r="K30" s="2" t="inlineStr">
        <is>
          <t>Cloud Sec</t>
        </is>
      </c>
      <c r="L30" s="2" t="inlineStr">
        <is>
          <t>2026-10-25</t>
        </is>
      </c>
      <c r="M30" s="2" t="inlineStr">
        <is>
          <t>Open</t>
        </is>
      </c>
      <c r="N30" s="2" t="n">
        <v>2</v>
      </c>
      <c r="O30" s="2" t="n">
        <v>3</v>
      </c>
      <c r="P30" s="2">
        <f>N30*O30</f>
        <v/>
      </c>
      <c r="Q30" s="2">
        <f>IF(P30&gt;=15, "Critical", IF(P30&gt;=10, "High", IF(P30&gt;=5, "Medium", "Low")))</f>
        <v/>
      </c>
    </row>
    <row r="31" ht="29" customHeight="1">
      <c r="A31" s="4" t="inlineStr">
        <is>
          <t>R-030</t>
        </is>
      </c>
      <c r="B31" s="4" t="inlineStr">
        <is>
          <t>Logging &amp; Monitoring</t>
        </is>
      </c>
      <c r="C31" s="4" t="inlineStr">
        <is>
          <t>Detect</t>
        </is>
      </c>
      <c r="D31" s="5" t="inlineStr">
        <is>
          <t>Lack of MFA on HR Portal (APAC)</t>
        </is>
      </c>
      <c r="E31" s="5" t="inlineStr">
        <is>
          <t>Legacy authentication system</t>
        </is>
      </c>
      <c r="F31" s="5" t="inlineStr">
        <is>
          <t>Phishing attack leading to account takeover</t>
        </is>
      </c>
      <c r="G31" s="5" t="inlineStr">
        <is>
          <t>Payroll fraud and employee data theft</t>
        </is>
      </c>
      <c r="H31" s="5" t="inlineStr">
        <is>
          <t>Password complexity rules</t>
        </is>
      </c>
      <c r="I31" s="5" t="inlineStr">
        <is>
          <t>No multi-factor authentication</t>
        </is>
      </c>
      <c r="J31" s="5" t="inlineStr">
        <is>
          <t>Roll out FIDO2 hardware keys</t>
        </is>
      </c>
      <c r="K31" s="4" t="inlineStr">
        <is>
          <t>Identity Team</t>
        </is>
      </c>
      <c r="L31" s="4" t="inlineStr">
        <is>
          <t>N/A</t>
        </is>
      </c>
      <c r="M31" s="4" t="inlineStr">
        <is>
          <t>Closed</t>
        </is>
      </c>
      <c r="N31" s="4" t="n">
        <v>2</v>
      </c>
      <c r="O31" s="4" t="n">
        <v>3</v>
      </c>
      <c r="P31" s="4">
        <f>N31*O31</f>
        <v/>
      </c>
      <c r="Q31" s="4">
        <f>IF(P31&gt;=15, "Critical", IF(P31&gt;=10, "High", IF(P31&gt;=5, "Medium", "Low")))</f>
        <v/>
      </c>
    </row>
    <row r="32" ht="29" customHeight="1">
      <c r="A32" s="2" t="inlineStr">
        <is>
          <t>R-031</t>
        </is>
      </c>
      <c r="B32" s="2" t="inlineStr">
        <is>
          <t>Logging &amp; Monitoring</t>
        </is>
      </c>
      <c r="C32" s="2" t="inlineStr">
        <is>
          <t>Detect</t>
        </is>
      </c>
      <c r="D32" s="3" t="inlineStr">
        <is>
          <t>Lack of Centralized Log Retention (EU)</t>
        </is>
      </c>
      <c r="E32" s="3" t="inlineStr">
        <is>
          <t>Storage cost savings</t>
        </is>
      </c>
      <c r="F32" s="3" t="inlineStr">
        <is>
          <t>Security breach goes undetected for months</t>
        </is>
      </c>
      <c r="G32" s="3" t="inlineStr">
        <is>
          <t>Inability to perform forensics post-breach</t>
        </is>
      </c>
      <c r="H32" s="3" t="inlineStr">
        <is>
          <t>Local server logs (30 days)</t>
        </is>
      </c>
      <c r="I32" s="3" t="inlineStr">
        <is>
          <t>Logs not sent to a central SIEM for correlation</t>
        </is>
      </c>
      <c r="J32" s="3" t="inlineStr">
        <is>
          <t>Forward all critical system logs to SIEM with 1-year retention</t>
        </is>
      </c>
      <c r="K32" s="2" t="inlineStr">
        <is>
          <t>SecOps</t>
        </is>
      </c>
      <c r="L32" s="2" t="inlineStr">
        <is>
          <t>N/A</t>
        </is>
      </c>
      <c r="M32" s="2" t="inlineStr">
        <is>
          <t>Closed</t>
        </is>
      </c>
      <c r="N32" s="2" t="n">
        <v>4</v>
      </c>
      <c r="O32" s="2" t="n">
        <v>3</v>
      </c>
      <c r="P32" s="2">
        <f>N32*O32</f>
        <v/>
      </c>
      <c r="Q32" s="2">
        <f>IF(P32&gt;=15, "Critical", IF(P32&gt;=10, "High", IF(P32&gt;=5, "Medium", "Low")))</f>
        <v/>
      </c>
    </row>
    <row r="33" ht="29" customHeight="1">
      <c r="A33" s="4" t="inlineStr">
        <is>
          <t>R-032</t>
        </is>
      </c>
      <c r="B33" s="4" t="inlineStr">
        <is>
          <t>Logging &amp; Monitoring</t>
        </is>
      </c>
      <c r="C33" s="4" t="inlineStr">
        <is>
          <t>Detect</t>
        </is>
      </c>
      <c r="D33" s="5" t="inlineStr">
        <is>
          <t>Lack of MFA on HR Portal (Global)</t>
        </is>
      </c>
      <c r="E33" s="5" t="inlineStr">
        <is>
          <t>Legacy authentication system</t>
        </is>
      </c>
      <c r="F33" s="5" t="inlineStr">
        <is>
          <t>Phishing attack leading to account takeover</t>
        </is>
      </c>
      <c r="G33" s="5" t="inlineStr">
        <is>
          <t>Payroll fraud and employee data theft</t>
        </is>
      </c>
      <c r="H33" s="5" t="inlineStr">
        <is>
          <t>Password complexity rules</t>
        </is>
      </c>
      <c r="I33" s="5" t="inlineStr">
        <is>
          <t>No multi-factor authentication</t>
        </is>
      </c>
      <c r="J33" s="5" t="inlineStr">
        <is>
          <t>Roll out FIDO2 hardware keys</t>
        </is>
      </c>
      <c r="K33" s="4" t="inlineStr">
        <is>
          <t>Identity Team</t>
        </is>
      </c>
      <c r="L33" s="4" t="inlineStr">
        <is>
          <t>2026-11-21</t>
        </is>
      </c>
      <c r="M33" s="4" t="inlineStr">
        <is>
          <t>Open</t>
        </is>
      </c>
      <c r="N33" s="4" t="n">
        <v>1</v>
      </c>
      <c r="O33" s="4" t="n">
        <v>3</v>
      </c>
      <c r="P33" s="4">
        <f>N33*O33</f>
        <v/>
      </c>
      <c r="Q33" s="4">
        <f>IF(P33&gt;=15, "Critical", IF(P33&gt;=10, "High", IF(P33&gt;=5, "Medium", "Low")))</f>
        <v/>
      </c>
    </row>
    <row r="34" ht="29" customHeight="1">
      <c r="A34" s="2" t="inlineStr">
        <is>
          <t>R-033</t>
        </is>
      </c>
      <c r="B34" s="2" t="inlineStr">
        <is>
          <t>Backup &amp; Recovery</t>
        </is>
      </c>
      <c r="C34" s="2" t="inlineStr">
        <is>
          <t>Recover</t>
        </is>
      </c>
      <c r="D34" s="3" t="inlineStr">
        <is>
          <t>Untested Regional Backups (APAC)</t>
        </is>
      </c>
      <c r="E34" s="3" t="inlineStr">
        <is>
          <t>No scheduled disaster recovery drills</t>
        </is>
      </c>
      <c r="F34" s="3" t="inlineStr">
        <is>
          <t>Ransomware hits regional hub</t>
        </is>
      </c>
      <c r="G34" s="3" t="inlineStr">
        <is>
          <t>Unable to restore data within 24 hours</t>
        </is>
      </c>
      <c r="H34" s="3" t="inlineStr">
        <is>
          <t>Weekly cloud backups</t>
        </is>
      </c>
      <c r="I34" s="3" t="inlineStr">
        <is>
          <t>Backups have never been tested for restoration speed</t>
        </is>
      </c>
      <c r="J34" s="3" t="inlineStr">
        <is>
          <t>Conduct quarterly DR tabletop and restore tests</t>
        </is>
      </c>
      <c r="K34" s="2" t="inlineStr">
        <is>
          <t>Disaster Recovery</t>
        </is>
      </c>
      <c r="L34" s="2" t="inlineStr">
        <is>
          <t>2026-10-02</t>
        </is>
      </c>
      <c r="M34" s="2" t="inlineStr">
        <is>
          <t>Open</t>
        </is>
      </c>
      <c r="N34" s="2" t="n">
        <v>2</v>
      </c>
      <c r="O34" s="2" t="n">
        <v>3</v>
      </c>
      <c r="P34" s="2">
        <f>N34*O34</f>
        <v/>
      </c>
      <c r="Q34" s="2">
        <f>IF(P34&gt;=15, "Critical", IF(P34&gt;=10, "High", IF(P34&gt;=5, "Medium", "Low")))</f>
        <v/>
      </c>
    </row>
    <row r="35" ht="29" customHeight="1">
      <c r="A35" s="4" t="inlineStr">
        <is>
          <t>R-034</t>
        </is>
      </c>
      <c r="B35" s="4" t="inlineStr">
        <is>
          <t>Endpoint Security</t>
        </is>
      </c>
      <c r="C35" s="4" t="inlineStr">
        <is>
          <t>Protect</t>
        </is>
      </c>
      <c r="D35" s="5" t="inlineStr">
        <is>
          <t>Overprivileged Cloud Admins (Global)</t>
        </is>
      </c>
      <c r="E35" s="5" t="inlineStr">
        <is>
          <t>Role creep over several years</t>
        </is>
      </c>
      <c r="F35" s="5" t="inlineStr">
        <is>
          <t>Insider threat or hijacked admin account</t>
        </is>
      </c>
      <c r="G35" s="5" t="inlineStr">
        <is>
          <t>Complete deletion of cloud storage buckets</t>
        </is>
      </c>
      <c r="H35" s="5" t="inlineStr">
        <is>
          <t>Annual access reviews</t>
        </is>
      </c>
      <c r="I35" s="5" t="inlineStr">
        <is>
          <t>Too much standing privilege, no Just-in-Time access</t>
        </is>
      </c>
      <c r="J35" s="5" t="inlineStr">
        <is>
          <t>Implement Just-in-Time (JIT) cloud access</t>
        </is>
      </c>
      <c r="K35" s="4" t="inlineStr">
        <is>
          <t>Cloud Sec</t>
        </is>
      </c>
      <c r="L35" s="4" t="inlineStr">
        <is>
          <t>2026-09-17</t>
        </is>
      </c>
      <c r="M35" s="4" t="inlineStr">
        <is>
          <t>Open</t>
        </is>
      </c>
      <c r="N35" s="4" t="n">
        <v>3</v>
      </c>
      <c r="O35" s="4" t="n">
        <v>5</v>
      </c>
      <c r="P35" s="4">
        <f>N35*O35</f>
        <v/>
      </c>
      <c r="Q35" s="4">
        <f>IF(P35&gt;=15, "Critical", IF(P35&gt;=10, "High", IF(P35&gt;=5, "Medium", "Low")))</f>
        <v/>
      </c>
    </row>
    <row r="36" ht="29" customHeight="1">
      <c r="A36" s="2" t="inlineStr">
        <is>
          <t>R-035</t>
        </is>
      </c>
      <c r="B36" s="2" t="inlineStr">
        <is>
          <t>Identity &amp; Access</t>
        </is>
      </c>
      <c r="C36" s="2" t="inlineStr">
        <is>
          <t>Protect</t>
        </is>
      </c>
      <c r="D36" s="3" t="inlineStr">
        <is>
          <t>Delivery Fleet GPS Spoofing (LATAM)</t>
        </is>
      </c>
      <c r="E36" s="3" t="inlineStr">
        <is>
          <t>Unencrypted GPS signals on delivery vans</t>
        </is>
      </c>
      <c r="F36" s="3" t="inlineStr">
        <is>
          <t>Attackers feed false location data</t>
        </is>
      </c>
      <c r="G36" s="3" t="inlineStr">
        <is>
          <t>Stolen cargo and delayed deliveries</t>
        </is>
      </c>
      <c r="H36" s="3" t="inlineStr">
        <is>
          <t>Physical van locks</t>
        </is>
      </c>
      <c r="I36" s="3" t="inlineStr">
        <is>
          <t>No signal encryption or anomaly detection</t>
        </is>
      </c>
      <c r="J36" s="3" t="inlineStr">
        <is>
          <t>Upgrade fleet telematics to encrypted standard</t>
        </is>
      </c>
      <c r="K36" s="2" t="inlineStr">
        <is>
          <t>Fleet Ops</t>
        </is>
      </c>
      <c r="L36" s="2" t="inlineStr">
        <is>
          <t>2026-10-01</t>
        </is>
      </c>
      <c r="M36" s="2" t="inlineStr">
        <is>
          <t>In Progress</t>
        </is>
      </c>
      <c r="N36" s="2" t="n">
        <v>4</v>
      </c>
      <c r="O36" s="2" t="n">
        <v>4</v>
      </c>
      <c r="P36" s="2">
        <f>N36*O36</f>
        <v/>
      </c>
      <c r="Q36" s="2">
        <f>IF(P36&gt;=15, "Critical", IF(P36&gt;=10, "High", IF(P36&gt;=5, "Medium", "Low")))</f>
        <v/>
      </c>
    </row>
    <row r="37" ht="29" customHeight="1">
      <c r="A37" s="4" t="inlineStr">
        <is>
          <t>R-036</t>
        </is>
      </c>
      <c r="B37" s="4" t="inlineStr">
        <is>
          <t>Third-Party Risk</t>
        </is>
      </c>
      <c r="C37" s="4" t="inlineStr">
        <is>
          <t>Identify</t>
        </is>
      </c>
      <c r="D37" s="5" t="inlineStr">
        <is>
          <t>Missing Endpoint EDR on Contractor Laptops (NA)</t>
        </is>
      </c>
      <c r="E37" s="5" t="inlineStr">
        <is>
          <t>BYOD policy for seasonal warehouse contractors</t>
        </is>
      </c>
      <c r="F37" s="5" t="inlineStr">
        <is>
          <t>Contractor laptop introduces malware</t>
        </is>
      </c>
      <c r="G37" s="5" t="inlineStr">
        <is>
          <t>Local network infection</t>
        </is>
      </c>
      <c r="H37" s="5" t="inlineStr">
        <is>
          <t>Basic antivirus</t>
        </is>
      </c>
      <c r="I37" s="5" t="inlineStr">
        <is>
          <t>No advanced threat hunting or EDR</t>
        </is>
      </c>
      <c r="J37" s="5" t="inlineStr">
        <is>
          <t>Require virtual desktop (VDI) for all BYOD contractors</t>
        </is>
      </c>
      <c r="K37" s="4" t="inlineStr">
        <is>
          <t>Endpoint Sec</t>
        </is>
      </c>
      <c r="L37" s="4" t="inlineStr">
        <is>
          <t>2026-08-26</t>
        </is>
      </c>
      <c r="M37" s="4" t="inlineStr">
        <is>
          <t>In Progress</t>
        </is>
      </c>
      <c r="N37" s="4" t="n">
        <v>5</v>
      </c>
      <c r="O37" s="4" t="n">
        <v>5</v>
      </c>
      <c r="P37" s="4">
        <f>N37*O37</f>
        <v/>
      </c>
      <c r="Q37" s="4">
        <f>IF(P37&gt;=15, "Critical", IF(P37&gt;=10, "High", IF(P37&gt;=5, "Medium", "Low")))</f>
        <v/>
      </c>
    </row>
    <row r="38" ht="29" customHeight="1">
      <c r="A38" s="2" t="inlineStr">
        <is>
          <t>R-037</t>
        </is>
      </c>
      <c r="B38" s="2" t="inlineStr">
        <is>
          <t>Backup &amp; Recovery</t>
        </is>
      </c>
      <c r="C38" s="2" t="inlineStr">
        <is>
          <t>Recover</t>
        </is>
      </c>
      <c r="D38" s="3" t="inlineStr">
        <is>
          <t>Unpatched Warehouse IoT Devices (NA)</t>
        </is>
      </c>
      <c r="E38" s="3" t="inlineStr">
        <is>
          <t>Outdated firmware on barcode scanners</t>
        </is>
      </c>
      <c r="F38" s="3" t="inlineStr">
        <is>
          <t>Malware infection spreading through warehouse LAN</t>
        </is>
      </c>
      <c r="G38" s="3" t="inlineStr">
        <is>
          <t>Sortation center downtime</t>
        </is>
      </c>
      <c r="H38" s="3" t="inlineStr">
        <is>
          <t>Segmented guest network</t>
        </is>
      </c>
      <c r="I38" s="3" t="inlineStr">
        <is>
          <t>No IoT patch management</t>
        </is>
      </c>
      <c r="J38" s="3" t="inlineStr">
        <is>
          <t>Implement automated IoT firmware updates</t>
        </is>
      </c>
      <c r="K38" s="2" t="inlineStr">
        <is>
          <t>OT Security</t>
        </is>
      </c>
      <c r="L38" s="2" t="inlineStr">
        <is>
          <t>N/A</t>
        </is>
      </c>
      <c r="M38" s="2" t="inlineStr">
        <is>
          <t>Closed</t>
        </is>
      </c>
      <c r="N38" s="2" t="n">
        <v>5</v>
      </c>
      <c r="O38" s="2" t="n">
        <v>4</v>
      </c>
      <c r="P38" s="2">
        <f>N38*O38</f>
        <v/>
      </c>
      <c r="Q38" s="2">
        <f>IF(P38&gt;=15, "Critical", IF(P38&gt;=10, "High", IF(P38&gt;=5, "Medium", "Low")))</f>
        <v/>
      </c>
    </row>
    <row r="39" ht="29" customHeight="1">
      <c r="A39" s="4" t="inlineStr">
        <is>
          <t>R-038</t>
        </is>
      </c>
      <c r="B39" s="4" t="inlineStr">
        <is>
          <t>Identity &amp; Access</t>
        </is>
      </c>
      <c r="C39" s="4" t="inlineStr">
        <is>
          <t>Protect</t>
        </is>
      </c>
      <c r="D39" s="5" t="inlineStr">
        <is>
          <t>Overprivileged Cloud Admins (LATAM)</t>
        </is>
      </c>
      <c r="E39" s="5" t="inlineStr">
        <is>
          <t>Role creep over several years</t>
        </is>
      </c>
      <c r="F39" s="5" t="inlineStr">
        <is>
          <t>Insider threat or hijacked admin account</t>
        </is>
      </c>
      <c r="G39" s="5" t="inlineStr">
        <is>
          <t>Complete deletion of cloud storage buckets</t>
        </is>
      </c>
      <c r="H39" s="5" t="inlineStr">
        <is>
          <t>Annual access reviews</t>
        </is>
      </c>
      <c r="I39" s="5" t="inlineStr">
        <is>
          <t>Too much standing privilege, no Just-in-Time access</t>
        </is>
      </c>
      <c r="J39" s="5" t="inlineStr">
        <is>
          <t>Implement Just-in-Time (JIT) cloud access</t>
        </is>
      </c>
      <c r="K39" s="4" t="inlineStr">
        <is>
          <t>Cloud Sec</t>
        </is>
      </c>
      <c r="L39" s="4" t="inlineStr">
        <is>
          <t>2026-11-22</t>
        </is>
      </c>
      <c r="M39" s="4" t="inlineStr">
        <is>
          <t>Open</t>
        </is>
      </c>
      <c r="N39" s="4" t="n">
        <v>5</v>
      </c>
      <c r="O39" s="4" t="n">
        <v>2</v>
      </c>
      <c r="P39" s="4">
        <f>N39*O39</f>
        <v/>
      </c>
      <c r="Q39" s="4">
        <f>IF(P39&gt;=15, "Critical", IF(P39&gt;=10, "High", IF(P39&gt;=5, "Medium", "Low")))</f>
        <v/>
      </c>
    </row>
    <row r="40" ht="29" customHeight="1">
      <c r="A40" s="2" t="inlineStr">
        <is>
          <t>R-039</t>
        </is>
      </c>
      <c r="B40" s="2" t="inlineStr">
        <is>
          <t>Vulnerability Management</t>
        </is>
      </c>
      <c r="C40" s="2" t="inlineStr">
        <is>
          <t>Identify</t>
        </is>
      </c>
      <c r="D40" s="3" t="inlineStr">
        <is>
          <t>Missing Endpoint EDR on Contractor Laptops (NA)</t>
        </is>
      </c>
      <c r="E40" s="3" t="inlineStr">
        <is>
          <t>BYOD policy for seasonal warehouse contractors</t>
        </is>
      </c>
      <c r="F40" s="3" t="inlineStr">
        <is>
          <t>Contractor laptop introduces malware</t>
        </is>
      </c>
      <c r="G40" s="3" t="inlineStr">
        <is>
          <t>Local network infection</t>
        </is>
      </c>
      <c r="H40" s="3" t="inlineStr">
        <is>
          <t>Basic antivirus</t>
        </is>
      </c>
      <c r="I40" s="3" t="inlineStr">
        <is>
          <t>No advanced threat hunting or EDR</t>
        </is>
      </c>
      <c r="J40" s="3" t="inlineStr">
        <is>
          <t>Require virtual desktop (VDI) for all BYOD contractors</t>
        </is>
      </c>
      <c r="K40" s="2" t="inlineStr">
        <is>
          <t>Endpoint Sec</t>
        </is>
      </c>
      <c r="L40" s="2" t="inlineStr">
        <is>
          <t>2026-08-08</t>
        </is>
      </c>
      <c r="M40" s="2" t="inlineStr">
        <is>
          <t>In Progress</t>
        </is>
      </c>
      <c r="N40" s="2" t="n">
        <v>4</v>
      </c>
      <c r="O40" s="2" t="n">
        <v>2</v>
      </c>
      <c r="P40" s="2">
        <f>N40*O40</f>
        <v/>
      </c>
      <c r="Q40" s="2">
        <f>IF(P40&gt;=15, "Critical", IF(P40&gt;=10, "High", IF(P40&gt;=5, "Medium", "Low")))</f>
        <v/>
      </c>
    </row>
    <row r="41" ht="29" customHeight="1">
      <c r="A41" s="4" t="inlineStr">
        <is>
          <t>R-040</t>
        </is>
      </c>
      <c r="B41" s="4" t="inlineStr">
        <is>
          <t>Cloud Security</t>
        </is>
      </c>
      <c r="C41" s="4" t="inlineStr">
        <is>
          <t>Protect</t>
        </is>
      </c>
      <c r="D41" s="5" t="inlineStr">
        <is>
          <t>Lack of Centralized Log Retention (Global)</t>
        </is>
      </c>
      <c r="E41" s="5" t="inlineStr">
        <is>
          <t>Storage cost savings</t>
        </is>
      </c>
      <c r="F41" s="5" t="inlineStr">
        <is>
          <t>Security breach goes undetected for months</t>
        </is>
      </c>
      <c r="G41" s="5" t="inlineStr">
        <is>
          <t>Inability to perform forensics post-breach</t>
        </is>
      </c>
      <c r="H41" s="5" t="inlineStr">
        <is>
          <t>Local server logs (30 days)</t>
        </is>
      </c>
      <c r="I41" s="5" t="inlineStr">
        <is>
          <t>Logs not sent to a central SIEM for correlation</t>
        </is>
      </c>
      <c r="J41" s="5" t="inlineStr">
        <is>
          <t>Forward all critical system logs to SIEM with 1-year retention</t>
        </is>
      </c>
      <c r="K41" s="4" t="inlineStr">
        <is>
          <t>SecOps</t>
        </is>
      </c>
      <c r="L41" s="4" t="inlineStr">
        <is>
          <t>2026-08-02</t>
        </is>
      </c>
      <c r="M41" s="4" t="inlineStr">
        <is>
          <t>In Progress</t>
        </is>
      </c>
      <c r="N41" s="4" t="n">
        <v>4</v>
      </c>
      <c r="O41" s="4" t="n">
        <v>2</v>
      </c>
      <c r="P41" s="4">
        <f>N41*O41</f>
        <v/>
      </c>
      <c r="Q41" s="4">
        <f>IF(P41&gt;=15, "Critical", IF(P41&gt;=10, "High", IF(P41&gt;=5, "Medium", "Low")))</f>
        <v/>
      </c>
    </row>
    <row r="42" ht="29" customHeight="1">
      <c r="A42" s="2" t="inlineStr">
        <is>
          <t>R-041</t>
        </is>
      </c>
      <c r="B42" s="2" t="inlineStr">
        <is>
          <t>Identity &amp; Access</t>
        </is>
      </c>
      <c r="C42" s="2" t="inlineStr">
        <is>
          <t>Protect</t>
        </is>
      </c>
      <c r="D42" s="3" t="inlineStr">
        <is>
          <t>Unpatched Warehouse IoT Devices (Global)</t>
        </is>
      </c>
      <c r="E42" s="3" t="inlineStr">
        <is>
          <t>Outdated firmware on barcode scanners</t>
        </is>
      </c>
      <c r="F42" s="3" t="inlineStr">
        <is>
          <t>Malware infection spreading through warehouse LAN</t>
        </is>
      </c>
      <c r="G42" s="3" t="inlineStr">
        <is>
          <t>Sortation center downtime</t>
        </is>
      </c>
      <c r="H42" s="3" t="inlineStr">
        <is>
          <t>Segmented guest network</t>
        </is>
      </c>
      <c r="I42" s="3" t="inlineStr">
        <is>
          <t>No IoT patch management</t>
        </is>
      </c>
      <c r="J42" s="3" t="inlineStr">
        <is>
          <t>Implement automated IoT firmware updates</t>
        </is>
      </c>
      <c r="K42" s="2" t="inlineStr">
        <is>
          <t>OT Security</t>
        </is>
      </c>
      <c r="L42" s="2" t="inlineStr">
        <is>
          <t>2026-07-23</t>
        </is>
      </c>
      <c r="M42" s="2" t="inlineStr">
        <is>
          <t>Open</t>
        </is>
      </c>
      <c r="N42" s="2" t="n">
        <v>2</v>
      </c>
      <c r="O42" s="2" t="n">
        <v>4</v>
      </c>
      <c r="P42" s="2">
        <f>N42*O42</f>
        <v/>
      </c>
      <c r="Q42" s="2">
        <f>IF(P42&gt;=15, "Critical", IF(P42&gt;=10, "High", IF(P42&gt;=5, "Medium", "Low")))</f>
        <v/>
      </c>
    </row>
    <row r="43" ht="29" customHeight="1">
      <c r="A43" s="4" t="inlineStr">
        <is>
          <t>R-042</t>
        </is>
      </c>
      <c r="B43" s="4" t="inlineStr">
        <is>
          <t>Third-Party Risk</t>
        </is>
      </c>
      <c r="C43" s="4" t="inlineStr">
        <is>
          <t>Identify</t>
        </is>
      </c>
      <c r="D43" s="5" t="inlineStr">
        <is>
          <t>Third-Party HVAC Vendor Access (LATAM)</t>
        </is>
      </c>
      <c r="E43" s="5" t="inlineStr">
        <is>
          <t>HVAC vendor given direct VPN access</t>
        </is>
      </c>
      <c r="F43" s="5" t="inlineStr">
        <is>
          <t>Vendor compromised, attackers pivot to corporate network</t>
        </is>
      </c>
      <c r="G43" s="5" t="inlineStr">
        <is>
          <t>Massive corporate data breach</t>
        </is>
      </c>
      <c r="H43" s="5" t="inlineStr">
        <is>
          <t>VPN requirements</t>
        </is>
      </c>
      <c r="I43" s="5" t="inlineStr">
        <is>
          <t>Vendor network not segmented from corporate LAN</t>
        </is>
      </c>
      <c r="J43" s="5" t="inlineStr">
        <is>
          <t>Enforce strict network segmentation for all facility vendors</t>
        </is>
      </c>
      <c r="K43" s="4" t="inlineStr">
        <is>
          <t>Vendor Risk</t>
        </is>
      </c>
      <c r="L43" s="4" t="inlineStr">
        <is>
          <t>2026-10-08</t>
        </is>
      </c>
      <c r="M43" s="4" t="inlineStr">
        <is>
          <t>Open</t>
        </is>
      </c>
      <c r="N43" s="4" t="n">
        <v>4</v>
      </c>
      <c r="O43" s="4" t="n">
        <v>5</v>
      </c>
      <c r="P43" s="4">
        <f>N43*O43</f>
        <v/>
      </c>
      <c r="Q43" s="4">
        <f>IF(P43&gt;=15, "Critical", IF(P43&gt;=10, "High", IF(P43&gt;=5, "Medium", "Low")))</f>
        <v/>
      </c>
    </row>
    <row r="44" ht="29" customHeight="1">
      <c r="A44" s="2" t="inlineStr">
        <is>
          <t>R-043</t>
        </is>
      </c>
      <c r="B44" s="2" t="inlineStr">
        <is>
          <t>Logging &amp; Monitoring</t>
        </is>
      </c>
      <c r="C44" s="2" t="inlineStr">
        <is>
          <t>Detect</t>
        </is>
      </c>
      <c r="D44" s="3" t="inlineStr">
        <is>
          <t>Unpatched Warehouse IoT Devices (APAC)</t>
        </is>
      </c>
      <c r="E44" s="3" t="inlineStr">
        <is>
          <t>Outdated firmware on barcode scanners</t>
        </is>
      </c>
      <c r="F44" s="3" t="inlineStr">
        <is>
          <t>Malware infection spreading through warehouse LAN</t>
        </is>
      </c>
      <c r="G44" s="3" t="inlineStr">
        <is>
          <t>Sortation center downtime</t>
        </is>
      </c>
      <c r="H44" s="3" t="inlineStr">
        <is>
          <t>Segmented guest network</t>
        </is>
      </c>
      <c r="I44" s="3" t="inlineStr">
        <is>
          <t>No IoT patch management</t>
        </is>
      </c>
      <c r="J44" s="3" t="inlineStr">
        <is>
          <t>Implement automated IoT firmware updates</t>
        </is>
      </c>
      <c r="K44" s="2" t="inlineStr">
        <is>
          <t>OT Security</t>
        </is>
      </c>
      <c r="L44" s="2" t="inlineStr">
        <is>
          <t>2026-08-24</t>
        </is>
      </c>
      <c r="M44" s="2" t="inlineStr">
        <is>
          <t>In Progress</t>
        </is>
      </c>
      <c r="N44" s="2" t="n">
        <v>3</v>
      </c>
      <c r="O44" s="2" t="n">
        <v>5</v>
      </c>
      <c r="P44" s="2">
        <f>N44*O44</f>
        <v/>
      </c>
      <c r="Q44" s="2">
        <f>IF(P44&gt;=15, "Critical", IF(P44&gt;=10, "High", IF(P44&gt;=5, "Medium", "Low")))</f>
        <v/>
      </c>
    </row>
    <row r="45" ht="29" customHeight="1">
      <c r="A45" s="4" t="inlineStr">
        <is>
          <t>R-044</t>
        </is>
      </c>
      <c r="B45" s="4" t="inlineStr">
        <is>
          <t>Backup &amp; Recovery</t>
        </is>
      </c>
      <c r="C45" s="4" t="inlineStr">
        <is>
          <t>Recover</t>
        </is>
      </c>
      <c r="D45" s="5" t="inlineStr">
        <is>
          <t>Overprivileged Cloud Admins (APAC)</t>
        </is>
      </c>
      <c r="E45" s="5" t="inlineStr">
        <is>
          <t>Role creep over several years</t>
        </is>
      </c>
      <c r="F45" s="5" t="inlineStr">
        <is>
          <t>Insider threat or hijacked admin account</t>
        </is>
      </c>
      <c r="G45" s="5" t="inlineStr">
        <is>
          <t>Complete deletion of cloud storage buckets</t>
        </is>
      </c>
      <c r="H45" s="5" t="inlineStr">
        <is>
          <t>Annual access reviews</t>
        </is>
      </c>
      <c r="I45" s="5" t="inlineStr">
        <is>
          <t>Too much standing privilege, no Just-in-Time access</t>
        </is>
      </c>
      <c r="J45" s="5" t="inlineStr">
        <is>
          <t>Implement Just-in-Time (JIT) cloud access</t>
        </is>
      </c>
      <c r="K45" s="4" t="inlineStr">
        <is>
          <t>Cloud Sec</t>
        </is>
      </c>
      <c r="L45" s="4" t="inlineStr">
        <is>
          <t>2026-09-21</t>
        </is>
      </c>
      <c r="M45" s="4" t="inlineStr">
        <is>
          <t>Open</t>
        </is>
      </c>
      <c r="N45" s="4" t="n">
        <v>5</v>
      </c>
      <c r="O45" s="4" t="n">
        <v>5</v>
      </c>
      <c r="P45" s="4">
        <f>N45*O45</f>
        <v/>
      </c>
      <c r="Q45" s="4">
        <f>IF(P45&gt;=15, "Critical", IF(P45&gt;=10, "High", IF(P45&gt;=5, "Medium", "Low")))</f>
        <v/>
      </c>
    </row>
    <row r="46" ht="29" customHeight="1">
      <c r="A46" s="2" t="inlineStr">
        <is>
          <t>R-045</t>
        </is>
      </c>
      <c r="B46" s="2" t="inlineStr">
        <is>
          <t>Cloud Security</t>
        </is>
      </c>
      <c r="C46" s="2" t="inlineStr">
        <is>
          <t>Protect</t>
        </is>
      </c>
      <c r="D46" s="3" t="inlineStr">
        <is>
          <t>Unpatched Warehouse IoT Devices (Global)</t>
        </is>
      </c>
      <c r="E46" s="3" t="inlineStr">
        <is>
          <t>Outdated firmware on barcode scanners</t>
        </is>
      </c>
      <c r="F46" s="3" t="inlineStr">
        <is>
          <t>Malware infection spreading through warehouse LAN</t>
        </is>
      </c>
      <c r="G46" s="3" t="inlineStr">
        <is>
          <t>Sortation center downtime</t>
        </is>
      </c>
      <c r="H46" s="3" t="inlineStr">
        <is>
          <t>Segmented guest network</t>
        </is>
      </c>
      <c r="I46" s="3" t="inlineStr">
        <is>
          <t>No IoT patch management</t>
        </is>
      </c>
      <c r="J46" s="3" t="inlineStr">
        <is>
          <t>Implement automated IoT firmware updates</t>
        </is>
      </c>
      <c r="K46" s="2" t="inlineStr">
        <is>
          <t>OT Security</t>
        </is>
      </c>
      <c r="L46" s="2" t="inlineStr">
        <is>
          <t>2026-08-10</t>
        </is>
      </c>
      <c r="M46" s="2" t="inlineStr">
        <is>
          <t>In Progress</t>
        </is>
      </c>
      <c r="N46" s="2" t="n">
        <v>2</v>
      </c>
      <c r="O46" s="2" t="n">
        <v>2</v>
      </c>
      <c r="P46" s="2">
        <f>N46*O46</f>
        <v/>
      </c>
      <c r="Q46" s="2">
        <f>IF(P46&gt;=15, "Critical", IF(P46&gt;=10, "High", IF(P46&gt;=5, "Medium", "Low")))</f>
        <v/>
      </c>
    </row>
    <row r="47" ht="29" customHeight="1">
      <c r="A47" s="4" t="inlineStr">
        <is>
          <t>R-046</t>
        </is>
      </c>
      <c r="B47" s="4" t="inlineStr">
        <is>
          <t>Vulnerability Management</t>
        </is>
      </c>
      <c r="C47" s="4" t="inlineStr">
        <is>
          <t>Identify</t>
        </is>
      </c>
      <c r="D47" s="5" t="inlineStr">
        <is>
          <t>Delivery Fleet GPS Spoofing (APAC)</t>
        </is>
      </c>
      <c r="E47" s="5" t="inlineStr">
        <is>
          <t>Unencrypted GPS signals on delivery vans</t>
        </is>
      </c>
      <c r="F47" s="5" t="inlineStr">
        <is>
          <t>Attackers feed false location data</t>
        </is>
      </c>
      <c r="G47" s="5" t="inlineStr">
        <is>
          <t>Stolen cargo and delayed deliveries</t>
        </is>
      </c>
      <c r="H47" s="5" t="inlineStr">
        <is>
          <t>Physical van locks</t>
        </is>
      </c>
      <c r="I47" s="5" t="inlineStr">
        <is>
          <t>No signal encryption or anomaly detection</t>
        </is>
      </c>
      <c r="J47" s="5" t="inlineStr">
        <is>
          <t>Upgrade fleet telematics to encrypted standard</t>
        </is>
      </c>
      <c r="K47" s="4" t="inlineStr">
        <is>
          <t>Fleet Ops</t>
        </is>
      </c>
      <c r="L47" s="4" t="inlineStr">
        <is>
          <t>2026-11-15</t>
        </is>
      </c>
      <c r="M47" s="4" t="inlineStr">
        <is>
          <t>Open</t>
        </is>
      </c>
      <c r="N47" s="4" t="n">
        <v>2</v>
      </c>
      <c r="O47" s="4" t="n">
        <v>2</v>
      </c>
      <c r="P47" s="4">
        <f>N47*O47</f>
        <v/>
      </c>
      <c r="Q47" s="4">
        <f>IF(P47&gt;=15, "Critical", IF(P47&gt;=10, "High", IF(P47&gt;=5, "Medium", "Low")))</f>
        <v/>
      </c>
    </row>
    <row r="48" ht="29" customHeight="1">
      <c r="A48" s="2" t="inlineStr">
        <is>
          <t>R-047</t>
        </is>
      </c>
      <c r="B48" s="2" t="inlineStr">
        <is>
          <t>Identity &amp; Access</t>
        </is>
      </c>
      <c r="C48" s="2" t="inlineStr">
        <is>
          <t>Protect</t>
        </is>
      </c>
      <c r="D48" s="3" t="inlineStr">
        <is>
          <t>Legacy WMS Database Exposure (NA)</t>
        </is>
      </c>
      <c r="E48" s="3" t="inlineStr">
        <is>
          <t>End-of-life Warehouse Management System</t>
        </is>
      </c>
      <c r="F48" s="3" t="inlineStr">
        <is>
          <t>SQL injection attack on internal portal</t>
        </is>
      </c>
      <c r="G48" s="3" t="inlineStr">
        <is>
          <t>Loss of inventory accuracy</t>
        </is>
      </c>
      <c r="H48" s="3" t="inlineStr">
        <is>
          <t>Internal firewalls</t>
        </is>
      </c>
      <c r="I48" s="3" t="inlineStr">
        <is>
          <t>System cannot be patched</t>
        </is>
      </c>
      <c r="J48" s="3" t="inlineStr">
        <is>
          <t>Migrate to modern cloud WMS</t>
        </is>
      </c>
      <c r="K48" s="2" t="inlineStr">
        <is>
          <t>Logistics IT</t>
        </is>
      </c>
      <c r="L48" s="2" t="inlineStr">
        <is>
          <t>2026-11-03</t>
        </is>
      </c>
      <c r="M48" s="2" t="inlineStr">
        <is>
          <t>Open</t>
        </is>
      </c>
      <c r="N48" s="2" t="n">
        <v>4</v>
      </c>
      <c r="O48" s="2" t="n">
        <v>1</v>
      </c>
      <c r="P48" s="2">
        <f>N48*O48</f>
        <v/>
      </c>
      <c r="Q48" s="2">
        <f>IF(P48&gt;=15, "Critical", IF(P48&gt;=10, "High", IF(P48&gt;=5, "Medium", "Low")))</f>
        <v/>
      </c>
    </row>
    <row r="49" ht="29" customHeight="1">
      <c r="A49" s="4" t="inlineStr">
        <is>
          <t>R-048</t>
        </is>
      </c>
      <c r="B49" s="4" t="inlineStr">
        <is>
          <t>Third-Party Risk</t>
        </is>
      </c>
      <c r="C49" s="4" t="inlineStr">
        <is>
          <t>Identify</t>
        </is>
      </c>
      <c r="D49" s="5" t="inlineStr">
        <is>
          <t>Unpatched Warehouse IoT Devices (Global)</t>
        </is>
      </c>
      <c r="E49" s="5" t="inlineStr">
        <is>
          <t>Outdated firmware on barcode scanners</t>
        </is>
      </c>
      <c r="F49" s="5" t="inlineStr">
        <is>
          <t>Malware infection spreading through warehouse LAN</t>
        </is>
      </c>
      <c r="G49" s="5" t="inlineStr">
        <is>
          <t>Sortation center downtime</t>
        </is>
      </c>
      <c r="H49" s="5" t="inlineStr">
        <is>
          <t>Segmented guest network</t>
        </is>
      </c>
      <c r="I49" s="5" t="inlineStr">
        <is>
          <t>No IoT patch management</t>
        </is>
      </c>
      <c r="J49" s="5" t="inlineStr">
        <is>
          <t>Implement automated IoT firmware updates</t>
        </is>
      </c>
      <c r="K49" s="4" t="inlineStr">
        <is>
          <t>OT Security</t>
        </is>
      </c>
      <c r="L49" s="4" t="inlineStr">
        <is>
          <t>N/A</t>
        </is>
      </c>
      <c r="M49" s="4" t="inlineStr">
        <is>
          <t>Closed</t>
        </is>
      </c>
      <c r="N49" s="4" t="n">
        <v>4</v>
      </c>
      <c r="O49" s="4" t="n">
        <v>2</v>
      </c>
      <c r="P49" s="4">
        <f>N49*O49</f>
        <v/>
      </c>
      <c r="Q49" s="4">
        <f>IF(P49&gt;=15, "Critical", IF(P49&gt;=10, "High", IF(P49&gt;=5, "Medium", "Low")))</f>
        <v/>
      </c>
    </row>
    <row r="50" ht="29" customHeight="1">
      <c r="A50" s="2" t="inlineStr">
        <is>
          <t>R-049</t>
        </is>
      </c>
      <c r="B50" s="2" t="inlineStr">
        <is>
          <t>Third-Party Risk</t>
        </is>
      </c>
      <c r="C50" s="2" t="inlineStr">
        <is>
          <t>Identify</t>
        </is>
      </c>
      <c r="D50" s="3" t="inlineStr">
        <is>
          <t>Unpatched Warehouse IoT Devices (Global)</t>
        </is>
      </c>
      <c r="E50" s="3" t="inlineStr">
        <is>
          <t>Outdated firmware on barcode scanners</t>
        </is>
      </c>
      <c r="F50" s="3" t="inlineStr">
        <is>
          <t>Malware infection spreading through warehouse LAN</t>
        </is>
      </c>
      <c r="G50" s="3" t="inlineStr">
        <is>
          <t>Sortation center downtime</t>
        </is>
      </c>
      <c r="H50" s="3" t="inlineStr">
        <is>
          <t>Segmented guest network</t>
        </is>
      </c>
      <c r="I50" s="3" t="inlineStr">
        <is>
          <t>No IoT patch management</t>
        </is>
      </c>
      <c r="J50" s="3" t="inlineStr">
        <is>
          <t>Implement automated IoT firmware updates</t>
        </is>
      </c>
      <c r="K50" s="2" t="inlineStr">
        <is>
          <t>OT Security</t>
        </is>
      </c>
      <c r="L50" s="2" t="inlineStr">
        <is>
          <t>N/A</t>
        </is>
      </c>
      <c r="M50" s="2" t="inlineStr">
        <is>
          <t>Accepted</t>
        </is>
      </c>
      <c r="N50" s="2" t="n">
        <v>2</v>
      </c>
      <c r="O50" s="2" t="n">
        <v>5</v>
      </c>
      <c r="P50" s="2">
        <f>N50*O50</f>
        <v/>
      </c>
      <c r="Q50" s="2">
        <f>IF(P50&gt;=15, "Critical", IF(P50&gt;=10, "High", IF(P50&gt;=5, "Medium", "Low")))</f>
        <v/>
      </c>
    </row>
    <row r="51" ht="29" customHeight="1">
      <c r="A51" s="4" t="inlineStr">
        <is>
          <t>R-050</t>
        </is>
      </c>
      <c r="B51" s="4" t="inlineStr">
        <is>
          <t>Backup &amp; Recovery</t>
        </is>
      </c>
      <c r="C51" s="4" t="inlineStr">
        <is>
          <t>Recover</t>
        </is>
      </c>
      <c r="D51" s="5" t="inlineStr">
        <is>
          <t>Overprivileged Cloud Admins (LATAM)</t>
        </is>
      </c>
      <c r="E51" s="5" t="inlineStr">
        <is>
          <t>Role creep over several years</t>
        </is>
      </c>
      <c r="F51" s="5" t="inlineStr">
        <is>
          <t>Insider threat or hijacked admin account</t>
        </is>
      </c>
      <c r="G51" s="5" t="inlineStr">
        <is>
          <t>Complete deletion of cloud storage buckets</t>
        </is>
      </c>
      <c r="H51" s="5" t="inlineStr">
        <is>
          <t>Annual access reviews</t>
        </is>
      </c>
      <c r="I51" s="5" t="inlineStr">
        <is>
          <t>Too much standing privilege, no Just-in-Time access</t>
        </is>
      </c>
      <c r="J51" s="5" t="inlineStr">
        <is>
          <t>Implement Just-in-Time (JIT) cloud access</t>
        </is>
      </c>
      <c r="K51" s="4" t="inlineStr">
        <is>
          <t>Cloud Sec</t>
        </is>
      </c>
      <c r="L51" s="4" t="inlineStr">
        <is>
          <t>2026-11-21</t>
        </is>
      </c>
      <c r="M51" s="4" t="inlineStr">
        <is>
          <t>Open</t>
        </is>
      </c>
      <c r="N51" s="4" t="n">
        <v>3</v>
      </c>
      <c r="O51" s="4" t="n">
        <v>3</v>
      </c>
      <c r="P51" s="4">
        <f>N51*O51</f>
        <v/>
      </c>
      <c r="Q51" s="4">
        <f>IF(P51&gt;=15, "Critical", IF(P51&gt;=10, "High", IF(P51&gt;=5, "Medium", "Low")))</f>
        <v/>
      </c>
    </row>
    <row r="52">
      <c r="A52" s="4" t="inlineStr">
        <is>
          <t>GV-001</t>
        </is>
      </c>
      <c r="B52" s="4" t="inlineStr">
        <is>
          <t>Governance &amp; Oversight</t>
        </is>
      </c>
      <c r="C52" s="4" t="inlineStr">
        <is>
          <t>Govern</t>
        </is>
      </c>
      <c r="D52" s="5" t="inlineStr">
        <is>
          <t>No Enterprise Risk Appetite Statement</t>
        </is>
      </c>
      <c r="E52" s="5" t="inlineStr">
        <is>
          <t>No formally documented risk appetite/tolerance statement approved by executive leadership</t>
        </is>
      </c>
      <c r="F52" s="5" t="inlineStr">
        <is>
          <t>Business units make inconsistent risk-acceptance decisions with no common threshold, approving vendor onboarding or system changes that exceed true risk tolerance</t>
        </is>
      </c>
      <c r="G52" s="5" t="inlineStr">
        <is>
          <t>Uncontrolled risk accumulation across regions and potential audit findings</t>
        </is>
      </c>
      <c r="H52" s="5" t="inlineStr">
        <is>
          <t>Ad hoc leadership sign-off on individual major decisions</t>
        </is>
      </c>
      <c r="I52" s="5" t="inlineStr">
        <is>
          <t>No documented, board-approved risk appetite/tolerance thresholds</t>
        </is>
      </c>
      <c r="J52" s="5" t="inlineStr">
        <is>
          <t>Draft and obtain executive/board sign-off on a formal risk appetite statement</t>
        </is>
      </c>
      <c r="K52" s="4" t="inlineStr">
        <is>
          <t>Enterprise Risk</t>
        </is>
      </c>
      <c r="L52" s="4" t="inlineStr">
        <is>
          <t>2026-10-15</t>
        </is>
      </c>
      <c r="M52" s="4" t="inlineStr">
        <is>
          <t>Open</t>
        </is>
      </c>
      <c r="N52" s="4" t="n">
        <v>3</v>
      </c>
      <c r="O52" s="4" t="n">
        <v>4</v>
      </c>
      <c r="P52" s="4">
        <f>N52*O52</f>
        <v/>
      </c>
      <c r="Q52" s="4">
        <f>IF(P52&gt;=15, "Critical", IF(P52&gt;=10, "High", IF(P52&gt;=5, "Medium", "Low")))</f>
        <v/>
      </c>
    </row>
    <row r="53">
      <c r="A53" s="4" t="inlineStr">
        <is>
          <t>GV-002</t>
        </is>
      </c>
      <c r="B53" s="4" t="inlineStr">
        <is>
          <t>Governance &amp; Oversight</t>
        </is>
      </c>
      <c r="C53" s="4" t="inlineStr">
        <is>
          <t>Govern</t>
        </is>
      </c>
      <c r="D53" s="5" t="inlineStr">
        <is>
          <t>Undefined Third-Party Risk Ownership</t>
        </is>
      </c>
      <c r="E53" s="5" t="inlineStr">
        <is>
          <t>Third-party/vendor risk ownership not clearly assigned to a single accountable role</t>
        </is>
      </c>
      <c r="F53" s="5" t="inlineStr">
        <is>
          <t>When a vendor security incident occurs, no team is responsible for coordinating response, delaying containment</t>
        </is>
      </c>
      <c r="G53" s="5" t="inlineStr">
        <is>
          <t>Delayed incident response, prolonged exposure, contractual/regulatory penalties</t>
        </is>
      </c>
      <c r="H53" s="5" t="inlineStr">
        <is>
          <t>Informal escalation via account managers</t>
        </is>
      </c>
      <c r="I53" s="5" t="inlineStr">
        <is>
          <t>No RACI defining vendor-incident ownership</t>
        </is>
      </c>
      <c r="J53" s="5" t="inlineStr">
        <is>
          <t>Assign a single accountable owner (Vendor Risk) for all third-party incident coordination</t>
        </is>
      </c>
      <c r="K53" s="4" t="inlineStr">
        <is>
          <t>Vendor Risk</t>
        </is>
      </c>
      <c r="L53" s="4" t="inlineStr">
        <is>
          <t>2026-09-30</t>
        </is>
      </c>
      <c r="M53" s="4" t="inlineStr">
        <is>
          <t>Open</t>
        </is>
      </c>
      <c r="N53" s="4" t="n">
        <v>3</v>
      </c>
      <c r="O53" s="4" t="n">
        <v>4</v>
      </c>
      <c r="P53" s="4">
        <f>N53*O53</f>
        <v/>
      </c>
      <c r="Q53" s="4">
        <f>IF(P53&gt;=15, "Critical", IF(P53&gt;=10, "High", IF(P53&gt;=5, "Medium", "Low")))</f>
        <v/>
      </c>
    </row>
    <row r="54">
      <c r="A54" s="4" t="inlineStr">
        <is>
          <t>GV-003</t>
        </is>
      </c>
      <c r="B54" s="4" t="inlineStr">
        <is>
          <t>Governance &amp; Oversight</t>
        </is>
      </c>
      <c r="C54" s="4" t="inlineStr">
        <is>
          <t>Govern</t>
        </is>
      </c>
      <c r="D54" s="5" t="inlineStr">
        <is>
          <t>No Cybersecurity Supply Chain Risk Management (C-SCRM) Policy</t>
        </is>
      </c>
      <c r="E54" s="5" t="inlineStr">
        <is>
          <t>No formal C-SCRM policy for onboarding critical warehouse-automation vendors</t>
        </is>
      </c>
      <c r="F54" s="5" t="inlineStr">
        <is>
          <t>New OT/IoT vendors onboarded into warehouse automation without standardized security due diligence</t>
        </is>
      </c>
      <c r="G54" s="5" t="inlineStr">
        <is>
          <t>Unvetted hardware/software introduced into critical operational environments, expanding attack surface</t>
        </is>
      </c>
      <c r="H54" s="5" t="inlineStr">
        <is>
          <t>Standard procurement contracts</t>
        </is>
      </c>
      <c r="I54" s="5" t="inlineStr">
        <is>
          <t>No security due-diligence checklist required before OT/IoT vendor onboarding</t>
        </is>
      </c>
      <c r="J54" s="5" t="inlineStr">
        <is>
          <t>Formalize a C-SCRM policy with a mandatory security review gate for OT/IoT vendor onboarding</t>
        </is>
      </c>
      <c r="K54" s="4" t="inlineStr">
        <is>
          <t>OT Security</t>
        </is>
      </c>
      <c r="L54" s="4" t="inlineStr">
        <is>
          <t>2026-10-31</t>
        </is>
      </c>
      <c r="M54" s="4" t="inlineStr">
        <is>
          <t>Open</t>
        </is>
      </c>
      <c r="N54" s="4" t="n">
        <v>4</v>
      </c>
      <c r="O54" s="4" t="n">
        <v>4</v>
      </c>
      <c r="P54" s="4">
        <f>N54*O54</f>
        <v/>
      </c>
      <c r="Q54" s="4">
        <f>IF(P54&gt;=15, "Critical", IF(P54&gt;=10, "High", IF(P54&gt;=5, "Medium", "Low")))</f>
        <v/>
      </c>
    </row>
    <row r="55">
      <c r="A55" s="4" t="inlineStr">
        <is>
          <t>GV-004</t>
        </is>
      </c>
      <c r="B55" s="4" t="inlineStr">
        <is>
          <t>Governance &amp; Oversight</t>
        </is>
      </c>
      <c r="C55" s="4" t="inlineStr">
        <is>
          <t>Govern</t>
        </is>
      </c>
      <c r="D55" s="5" t="inlineStr">
        <is>
          <t>No Policy Review Cadence</t>
        </is>
      </c>
      <c r="E55" s="5" t="inlineStr">
        <is>
          <t>Security policies exist but have no defined review/update cadence</t>
        </is>
      </c>
      <c r="F55" s="5" t="inlineStr">
        <is>
          <t>Cloud configuration and access-control policies remain unchanged despite significant infrastructure changes</t>
        </is>
      </c>
      <c r="G55" s="5" t="inlineStr">
        <is>
          <t>Policy drift creates blind spots undetected until audit or incident</t>
        </is>
      </c>
      <c r="H55" s="5" t="inlineStr">
        <is>
          <t>Policies published on internal wiki</t>
        </is>
      </c>
      <c r="I55" s="5" t="inlineStr">
        <is>
          <t>No scheduled policy review or version-control process</t>
        </is>
      </c>
      <c r="J55" s="5" t="inlineStr">
        <is>
          <t>Establish an annual policy review cycle with designated policy owners</t>
        </is>
      </c>
      <c r="K55" s="4" t="inlineStr">
        <is>
          <t>GRC/Compliance</t>
        </is>
      </c>
      <c r="L55" s="4" t="inlineStr">
        <is>
          <t>2026-12-01</t>
        </is>
      </c>
      <c r="M55" s="4" t="inlineStr">
        <is>
          <t>Open</t>
        </is>
      </c>
      <c r="N55" s="4" t="n">
        <v>3</v>
      </c>
      <c r="O55" s="4" t="n">
        <v>3</v>
      </c>
      <c r="P55" s="4">
        <f>N55*O55</f>
        <v/>
      </c>
      <c r="Q55" s="4">
        <f>IF(P55&gt;=15, "Critical", IF(P55&gt;=10, "High", IF(P55&gt;=5, "Medium", "Low")))</f>
        <v/>
      </c>
    </row>
    <row r="56">
      <c r="A56" s="4" t="inlineStr">
        <is>
          <t>GV-005</t>
        </is>
      </c>
      <c r="B56" s="4" t="inlineStr">
        <is>
          <t>Governance &amp; Oversight</t>
        </is>
      </c>
      <c r="C56" s="4" t="inlineStr">
        <is>
          <t>Govern</t>
        </is>
      </c>
      <c r="D56" s="5" t="inlineStr">
        <is>
          <t>No Executive Risk Oversight Cadence</t>
        </is>
      </c>
      <c r="E56" s="5" t="inlineStr">
        <is>
          <t>No defined executive oversight cadence for reviewing the risk register and remediation progress</t>
        </is>
      </c>
      <c r="F56" s="5" t="inlineStr">
        <is>
          <t>Critical/High risks remain open past SLA windows without escalation to leadership</t>
        </is>
      </c>
      <c r="G56" s="5" t="inlineStr">
        <is>
          <t>Loss of executive visibility, weakened ability to demonstrate active governance to auditors</t>
        </is>
      </c>
      <c r="H56" s="5" t="inlineStr">
        <is>
          <t>Ad hoc reporting on request</t>
        </is>
      </c>
      <c r="I56" s="5" t="inlineStr">
        <is>
          <t>No standing executive risk review meeting</t>
        </is>
      </c>
      <c r="J56" s="5" t="inlineStr">
        <is>
          <t>Establish a quarterly executive risk-review cadence with mandatory escalation of overdue Critical/High items</t>
        </is>
      </c>
      <c r="K56" s="4" t="inlineStr">
        <is>
          <t>Executive Governance</t>
        </is>
      </c>
      <c r="L56" s="4" t="inlineStr">
        <is>
          <t>2026-09-15</t>
        </is>
      </c>
      <c r="M56" s="4" t="inlineStr">
        <is>
          <t>Open</t>
        </is>
      </c>
      <c r="N56" s="4" t="n">
        <v>3</v>
      </c>
      <c r="O56" s="4" t="n">
        <v>4</v>
      </c>
      <c r="P56" s="4">
        <f>N56*O56</f>
        <v/>
      </c>
      <c r="Q56" s="4">
        <f>IF(P56&gt;=15, "Critical", IF(P56&gt;=10, "High", IF(P56&gt;=5, "Medium", "Low")))</f>
        <v/>
      </c>
    </row>
    <row r="57">
      <c r="A57" s="4" t="inlineStr">
        <is>
          <t>GV-006</t>
        </is>
      </c>
      <c r="B57" s="4" t="inlineStr">
        <is>
          <t>Governance &amp; Oversight</t>
        </is>
      </c>
      <c r="C57" s="4" t="inlineStr">
        <is>
          <t>Govern</t>
        </is>
      </c>
      <c r="D57" s="5" t="inlineStr">
        <is>
          <t>Risk Program Not Linked to Organizational Context</t>
        </is>
      </c>
      <c r="E57" s="5" t="inlineStr">
        <is>
          <t>Organizational context (business objectives, regulatory obligations) not formally linked to the risk program</t>
        </is>
      </c>
      <c r="F57" s="5" t="inlineStr">
        <is>
          <t>Risk prioritization made without documented connection to actual business/compliance priorities</t>
        </is>
      </c>
      <c r="G57" s="5" t="inlineStr">
        <is>
          <t>Register may mis-prioritize risk relative to true exposure, undermining credibility with auditors</t>
        </is>
      </c>
      <c r="H57" s="5" t="inlineStr">
        <is>
          <t>Informal awareness among senior risk staff</t>
        </is>
      </c>
      <c r="I57" s="5" t="inlineStr">
        <is>
          <t>No documented mapping of business objectives/regulatory obligations to risk-scoring criteria</t>
        </is>
      </c>
      <c r="J57" s="5" t="inlineStr">
        <is>
          <t>Document organizational context and regulatory obligations, and link them explicitly to risk-scoring criteria</t>
        </is>
      </c>
      <c r="K57" s="4" t="inlineStr">
        <is>
          <t>Enterprise Risk</t>
        </is>
      </c>
      <c r="L57" s="4" t="inlineStr">
        <is>
          <t>2026-11-15</t>
        </is>
      </c>
      <c r="M57" s="4" t="inlineStr">
        <is>
          <t>Open</t>
        </is>
      </c>
      <c r="N57" s="4" t="n">
        <v>2</v>
      </c>
      <c r="O57" s="4" t="n">
        <v>4</v>
      </c>
      <c r="P57" s="4">
        <f>N57*O57</f>
        <v/>
      </c>
      <c r="Q57" s="4">
        <f>IF(P57&gt;=15, "Critical", IF(P57&gt;=10, "High", IF(P57&gt;=5, "Medium", "Low")))</f>
        <v/>
      </c>
    </row>
    <row r="58">
      <c r="A58" s="4" t="inlineStr">
        <is>
          <t>GV-007</t>
        </is>
      </c>
      <c r="B58" s="4" t="inlineStr">
        <is>
          <t>Governance &amp; Oversight</t>
        </is>
      </c>
      <c r="C58" s="4" t="inlineStr">
        <is>
          <t>Govern</t>
        </is>
      </c>
      <c r="D58" s="5" t="inlineStr">
        <is>
          <t>No Formal Executive Escalation Path</t>
        </is>
      </c>
      <c r="E58" s="5" t="inlineStr">
        <is>
          <t>No formal escalation path between risk/compliance function and executive leadership</t>
        </is>
      </c>
      <c r="F58" s="5" t="inlineStr">
        <is>
          <t>A critical third-party incident is identified but not communicated to leadership in a timely, structured way</t>
        </is>
      </c>
      <c r="G58" s="5" t="inlineStr">
        <is>
          <t>Delayed executive decisions, reputational and regulatory exposure</t>
        </is>
      </c>
      <c r="H58" s="5" t="inlineStr">
        <is>
          <t>Informal email notifications</t>
        </is>
      </c>
      <c r="I58" s="5" t="inlineStr">
        <is>
          <t>No defined escalation SLA or communication protocol for critical incidents</t>
        </is>
      </c>
      <c r="J58" s="5" t="inlineStr">
        <is>
          <t>Define and publish a formal escalation protocol with response-time SLAs for critical risk events</t>
        </is>
      </c>
      <c r="K58" s="4" t="inlineStr">
        <is>
          <t>GRC/Compliance</t>
        </is>
      </c>
      <c r="L58" s="4" t="inlineStr">
        <is>
          <t>2026-09-30</t>
        </is>
      </c>
      <c r="M58" s="4" t="inlineStr">
        <is>
          <t>Open</t>
        </is>
      </c>
      <c r="N58" s="4" t="n">
        <v>2</v>
      </c>
      <c r="O58" s="4" t="n">
        <v>5</v>
      </c>
      <c r="P58" s="4">
        <f>N58*O58</f>
        <v/>
      </c>
      <c r="Q58" s="4">
        <f>IF(P58&gt;=15, "Critical", IF(P58&gt;=10, "High", IF(P58&gt;=5, "Medium", "Low")))</f>
        <v/>
      </c>
    </row>
    <row r="59">
      <c r="A59" s="4" t="inlineStr">
        <is>
          <t>GV-008</t>
        </is>
      </c>
      <c r="B59" s="4" t="inlineStr">
        <is>
          <t>Governance &amp; Oversight</t>
        </is>
      </c>
      <c r="C59" s="4" t="inlineStr">
        <is>
          <t>Govern</t>
        </is>
      </c>
      <c r="D59" s="5" t="inlineStr">
        <is>
          <t>No Documented Cybersecurity Risk RACI</t>
        </is>
      </c>
      <c r="E59" s="5" t="inlineStr">
        <is>
          <t>Roles for cybersecurity risk management not documented (no RACI) across supply chain, IT, and warehouse ops</t>
        </is>
      </c>
      <c r="F59" s="5" t="inlineStr">
        <is>
          <t>During a cross-functional incident, teams are unclear who owns investigation, containment, reporting</t>
        </is>
      </c>
      <c r="G59" s="5" t="inlineStr">
        <is>
          <t>Slower containment, unclear accountability during audits, repeat findings</t>
        </is>
      </c>
      <c r="H59" s="5" t="inlineStr">
        <is>
          <t>Informal team ownership by department</t>
        </is>
      </c>
      <c r="I59" s="5" t="inlineStr">
        <is>
          <t>No documented RACI matrix across supply chain, IT, and warehouse operations</t>
        </is>
      </c>
      <c r="J59" s="5" t="inlineStr">
        <is>
          <t>Publish a RACI matrix defining ownership for investigation, containment, and reporting across all functions</t>
        </is>
      </c>
      <c r="K59" s="4" t="inlineStr">
        <is>
          <t>GRC/Compliance</t>
        </is>
      </c>
      <c r="L59" s="4" t="inlineStr">
        <is>
          <t>2026-10-15</t>
        </is>
      </c>
      <c r="M59" s="4" t="inlineStr">
        <is>
          <t>Open</t>
        </is>
      </c>
      <c r="N59" s="4" t="n">
        <v>3</v>
      </c>
      <c r="O59" s="4" t="n">
        <v>3</v>
      </c>
      <c r="P59" s="4">
        <f>N59*O59</f>
        <v/>
      </c>
      <c r="Q59" s="4">
        <f>IF(P59&gt;=15, "Critical", IF(P59&gt;=10, "High", IF(P59&gt;=5, "Medium", "Low")))</f>
        <v/>
      </c>
    </row>
  </sheetData>
  <dataValidations count="2">
    <dataValidation sqref="M2:M100" showDropDown="0" showInputMessage="0" showErrorMessage="0" allowBlank="0" type="list">
      <formula1>"Open,In Progress,Closed,Accepted"</formula1>
    </dataValidation>
    <dataValidation sqref="N2:O100" showDropDown="0" showInputMessage="0" showErrorMessage="0" allowBlank="0" type="whole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8" customWidth="1" min="3" max="3"/>
    <col width="14" customWidth="1" min="4" max="4"/>
    <col width="14" customWidth="1" min="5" max="5"/>
    <col width="32" customWidth="1" min="6" max="6"/>
    <col width="42" customWidth="1" min="7" max="7"/>
    <col width="30" customWidth="1" min="8" max="8"/>
    <col width="20" customWidth="1" min="9" max="9"/>
    <col width="12" customWidth="1" min="10" max="10"/>
    <col width="16" customWidth="1" min="11" max="11"/>
    <col width="42" customWidth="1" min="12" max="12"/>
    <col width="36" customWidth="1" min="13" max="13"/>
    <col width="10" customWidth="1" min="14" max="14"/>
  </cols>
  <sheetData>
    <row r="1" ht="20" customHeight="1">
      <c r="A1" s="19" t="inlineStr">
        <is>
          <t>Test ID</t>
        </is>
      </c>
      <c r="B1" s="19" t="inlineStr">
        <is>
          <t>Related Risk ID(s)</t>
        </is>
      </c>
      <c r="C1" s="19" t="inlineStr">
        <is>
          <t>Control Name</t>
        </is>
      </c>
      <c r="D1" s="19" t="inlineStr">
        <is>
          <t>Control Owner</t>
        </is>
      </c>
      <c r="E1" s="19" t="inlineStr">
        <is>
          <t>NIST CSF Function</t>
        </is>
      </c>
      <c r="F1" s="19" t="inlineStr">
        <is>
          <t>Test Objective</t>
        </is>
      </c>
      <c r="G1" s="19" t="inlineStr">
        <is>
          <t>Test Procedure Performed</t>
        </is>
      </c>
      <c r="H1" s="19" t="inlineStr">
        <is>
          <t>Evidence Reviewed</t>
        </is>
      </c>
      <c r="I1" s="19" t="inlineStr">
        <is>
          <t>Sample Size</t>
        </is>
      </c>
      <c r="J1" s="19" t="inlineStr">
        <is>
          <t>Test Date</t>
        </is>
      </c>
      <c r="K1" s="19" t="inlineStr">
        <is>
          <t>Result</t>
        </is>
      </c>
      <c r="L1" s="19" t="inlineStr">
        <is>
          <t>Finding / Exception</t>
        </is>
      </c>
      <c r="M1" s="19" t="inlineStr">
        <is>
          <t>Recommended Remediation</t>
        </is>
      </c>
      <c r="N1" s="19" t="inlineStr">
        <is>
          <t>Tester</t>
        </is>
      </c>
    </row>
    <row r="2">
      <c r="A2" s="20" t="inlineStr">
        <is>
          <t>CT-001</t>
        </is>
      </c>
      <c r="B2" s="20" t="inlineStr">
        <is>
          <t>R-008, R-011, R-022, R-029, R-034, R-038, R-044, R-050</t>
        </is>
      </c>
      <c r="C2" s="20" t="inlineStr">
        <is>
          <t>Annual Access Reviews (Cloud Admin Privileged Access)</t>
        </is>
      </c>
      <c r="D2" s="20" t="inlineStr">
        <is>
          <t>Cloud Sec</t>
        </is>
      </c>
      <c r="E2" s="20" t="inlineStr">
        <is>
          <t>Identify / Protect</t>
        </is>
      </c>
      <c r="F2" s="20" t="inlineStr">
        <is>
          <t>Verify privileged cloud admin access is reviewed at least annually and access no longer required is revoked timely.</t>
        </is>
      </c>
      <c r="G2" s="20" t="inlineStr">
        <is>
          <t>Selected a sample of 15 privileged cloud admin accounts across NA, EU, APAC, and LATAM from the most recent access-review cycle. Confirmed each had a documented sign-off within 12 months, and traced 5 'access revoked' decisions to confirm actual deprovisioning within 5 business days.</t>
        </is>
      </c>
      <c r="H2" s="20" t="inlineStr">
        <is>
          <t>Access review sign-off log (Q2 2026), IAM deprovisioning audit trail, sample account list.</t>
        </is>
      </c>
      <c r="I2" s="20" t="inlineStr">
        <is>
          <t>15 of ~140 privileged accounts</t>
        </is>
      </c>
      <c r="J2" s="20" t="inlineStr">
        <is>
          <t>2026-08-15</t>
        </is>
      </c>
      <c r="K2" s="21" t="inlineStr">
        <is>
          <t>Partially Effective</t>
        </is>
      </c>
      <c r="L2" s="20" t="inlineStr">
        <is>
          <t>3 of 15 sampled accounts (20%) had review sign-offs completed but access was not revoked in the IAM system for 12-19 days after the 'revoke' decision, exceeding the 5-business-day SLA. Root cause: manual deprovisioning process with no system-enforced deadline.</t>
        </is>
      </c>
      <c r="M2" s="20" t="inlineStr">
        <is>
          <t>Implement automated deprovisioning triggered directly by access-review decisions rather than a manual follow-up ticket.</t>
        </is>
      </c>
      <c r="N2" s="20" t="inlineStr">
        <is>
          <t>A. Rehman</t>
        </is>
      </c>
    </row>
    <row r="3">
      <c r="A3" s="20" t="inlineStr">
        <is>
          <t>CT-002</t>
        </is>
      </c>
      <c r="B3" s="20" t="inlineStr">
        <is>
          <t>R-014, R-037, R-041, R-043, R-045, R-048, R-049</t>
        </is>
      </c>
      <c r="C3" s="20" t="inlineStr">
        <is>
          <t>Warehouse IoT Network Segmentation</t>
        </is>
      </c>
      <c r="D3" s="20" t="inlineStr">
        <is>
          <t>OT Security</t>
        </is>
      </c>
      <c r="E3" s="20" t="inlineStr">
        <is>
          <t>Protect / Detect</t>
        </is>
      </c>
      <c r="F3" s="20" t="inlineStr">
        <is>
          <t>Verify warehouse IoT devices (barcode scanners, sortation sensors) are logically segmented from the corporate network.</t>
        </is>
      </c>
      <c r="G3" s="20" t="inlineStr">
        <is>
          <t>Reviewed network architecture diagrams for 3 warehouse sites (NA, EU, APAC). Reviewed firewall/VLAN configuration exports confirming IoT VLAN isolation, and checked for exception/bridge rules allowing IoT-to-corporate traffic.</t>
        </is>
      </c>
      <c r="H3" s="20" t="inlineStr">
        <is>
          <t>Network architecture diagrams, firewall rule exports, VLAN configuration records.</t>
        </is>
      </c>
      <c r="I3" s="20" t="inlineStr">
        <is>
          <t>3 of 22 warehouse sites</t>
        </is>
      </c>
      <c r="J3" s="20" t="inlineStr">
        <is>
          <t>2026-08-18</t>
        </is>
      </c>
      <c r="K3" s="21" t="inlineStr">
        <is>
          <t>Effective (1 exception)</t>
        </is>
      </c>
      <c r="L3" s="20" t="inlineStr">
        <is>
          <t>2 of 3 sites had clean segmentation with no cross-VLAN exceptions. 1 site (APAC) had a temporary firewall rule opened for a vendor maintenance visit 4 months prior that was never closed, allowing IoT VLAN traffic to reach a corporate file share.</t>
        </is>
      </c>
      <c r="M3" s="20" t="inlineStr">
        <is>
          <t>Implement a firewall exception expiration/auto-review process for all vendor-maintenance-related temporary rules.</t>
        </is>
      </c>
      <c r="N3" s="20" t="inlineStr">
        <is>
          <t>A. Rehman</t>
        </is>
      </c>
    </row>
    <row r="4">
      <c r="A4" s="20" t="inlineStr">
        <is>
          <t>CT-003</t>
        </is>
      </c>
      <c r="B4" s="20" t="inlineStr">
        <is>
          <t>R-018, R-023, R-030, R-032</t>
        </is>
      </c>
      <c r="C4" s="20" t="inlineStr">
        <is>
          <t>HR Portal Authentication Controls</t>
        </is>
      </c>
      <c r="D4" s="20" t="inlineStr">
        <is>
          <t>Identity Team</t>
        </is>
      </c>
      <c r="E4" s="20" t="inlineStr">
        <is>
          <t>Protect</t>
        </is>
      </c>
      <c r="F4" s="20" t="inlineStr">
        <is>
          <t>Determine whether password complexity rules are sufficient to mitigate unauthorized access in the continued absence of MFA.</t>
        </is>
      </c>
      <c r="G4" s="20" t="inlineStr">
        <is>
          <t>Reviewed HR portal authentication configuration and password policy settings. Checked whether elevated-access HR admin accounts had MFA enforced despite the general population not having it. Reviewed 90 days of failed-login/lockout logs for credential-stuffing indicators.</t>
        </is>
      </c>
      <c r="H4" s="20" t="inlineStr">
        <is>
          <t>Authentication configuration export, password policy documentation, 90-day failed-login log.</t>
        </is>
      </c>
      <c r="I4" s="20" t="inlineStr">
        <is>
          <t>Full population, 90-day window</t>
        </is>
      </c>
      <c r="J4" s="20" t="inlineStr">
        <is>
          <t>2026-08-20</t>
        </is>
      </c>
      <c r="K4" s="22" t="inlineStr">
        <is>
          <t>Ineffective</t>
        </is>
      </c>
      <c r="L4" s="20" t="inlineStr">
        <is>
          <t>Password complexity alone does not constitute an adequate compensating control for the absence of MFA on a system handling PII (per NIST 800-63B). Failed-login logs showed 340 failed attempts across 22 accounts in 90 days, consistent with credential-stuffing patterns, with no automated lockout until the 10th consecutive failure.</t>
        </is>
      </c>
      <c r="M4" s="20" t="inlineStr">
        <is>
          <t>Prioritize MFA enforcement on the HR portal as a Critical remediation item (tracked as R-018/023/030/032); reduce lockout threshold to 5 attempts in the interim.</t>
        </is>
      </c>
      <c r="N4" s="20" t="inlineStr">
        <is>
          <t>A. Rehman</t>
        </is>
      </c>
    </row>
    <row r="5">
      <c r="A5" s="20" t="inlineStr">
        <is>
          <t>CT-004</t>
        </is>
      </c>
      <c r="B5" s="20" t="inlineStr">
        <is>
          <t>R-015, R-020, R-021, R-042</t>
        </is>
      </c>
      <c r="C5" s="20" t="inlineStr">
        <is>
          <t>Third-Party Vendor Remote Access (VPN)</t>
        </is>
      </c>
      <c r="D5" s="20" t="inlineStr">
        <is>
          <t>Vendor Risk</t>
        </is>
      </c>
      <c r="E5" s="20" t="inlineStr">
        <is>
          <t>Protect</t>
        </is>
      </c>
      <c r="F5" s="20" t="inlineStr">
        <is>
          <t>Verify third-party HVAC/facilities vendors are restricted to least-privilege VPN access and deprovisioned when contracts end.</t>
        </is>
      </c>
      <c r="G5" s="20" t="inlineStr">
        <is>
          <t>Selected a sample of 8 active third-party vendor VPN accounts. Confirmed each was tied to an active, unexpired vendor contract, and verified VPN access scope was restricted to building-management-system IP ranges only.</t>
        </is>
      </c>
      <c r="H5" s="20" t="inlineStr">
        <is>
          <t>Vendor contract register, VPN access-grant list, network access-scope configuration.</t>
        </is>
      </c>
      <c r="I5" s="20" t="inlineStr">
        <is>
          <t>8 of 19 active third-party VPN accounts</t>
        </is>
      </c>
      <c r="J5" s="20" t="inlineStr">
        <is>
          <t>2026-08-21</t>
        </is>
      </c>
      <c r="K5" s="23" t="inlineStr">
        <is>
          <t>Effective</t>
        </is>
      </c>
      <c r="L5" s="20" t="inlineStr">
        <is>
          <t>All 8 sampled accounts were correctly scoped and tied to active contracts. No exceptions noted.</t>
        </is>
      </c>
      <c r="M5" s="20" t="inlineStr">
        <is>
          <t>None required; expand sample size in the next testing cycle given population size.</t>
        </is>
      </c>
      <c r="N5" s="20" t="inlineStr">
        <is>
          <t>A. Rehman</t>
        </is>
      </c>
    </row>
    <row r="6">
      <c r="A6" s="20" t="inlineStr">
        <is>
          <t>CT-005</t>
        </is>
      </c>
      <c r="B6" s="20" t="inlineStr">
        <is>
          <t>R-019, R-024, R-033</t>
        </is>
      </c>
      <c r="C6" s="20" t="inlineStr">
        <is>
          <t>Regional Backup &amp; Recovery Testing</t>
        </is>
      </c>
      <c r="D6" s="20" t="inlineStr">
        <is>
          <t>Disaster Recovery</t>
        </is>
      </c>
      <c r="E6" s="20" t="inlineStr">
        <is>
          <t>Recover</t>
        </is>
      </c>
      <c r="F6" s="20" t="inlineStr">
        <is>
          <t>Verify weekly cloud backups for APAC regional systems can be successfully restored within the recovery time objective (RTO).</t>
        </is>
      </c>
      <c r="G6" s="20" t="inlineStr">
        <is>
          <t>Confirmed backup job completion logs for the last 8 weekly cycles. Requested evidence of the most recent backup restoration test for the APAC region.</t>
        </is>
      </c>
      <c r="H6" s="20" t="inlineStr">
        <is>
          <t>Backup job completion logs (8-week window), disaster recovery test records.</t>
        </is>
      </c>
      <c r="I6" s="20" t="inlineStr">
        <is>
          <t>8 of 8 backup cycles; 1 restoration test record requested</t>
        </is>
      </c>
      <c r="J6" s="20" t="inlineStr">
        <is>
          <t>2026-08-22</t>
        </is>
      </c>
      <c r="K6" s="22" t="inlineStr">
        <is>
          <t>Ineffective</t>
        </is>
      </c>
      <c r="L6" s="20" t="inlineStr">
        <is>
          <t>All 8 weekly backup jobs completed successfully, but no backup restoration test has been performed for the APAC region in over 18 months. Backup existence was confirmed; recoverability was not.</t>
        </is>
      </c>
      <c r="M6" s="20" t="inlineStr">
        <is>
          <t>Schedule and execute a full restoration test for the APAC region within 30 days; establish a semi-annual restoration-testing cadence for all regions.</t>
        </is>
      </c>
      <c r="N6" s="20" t="inlineStr">
        <is>
          <t>A. Rehman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2026-07-01T10:48:59Z</dcterms:created>
  <dcterms:modified xmlns:dcterms="http://purl.org/dc/terms/" xmlns:xsi="http://www.w3.org/2001/XMLSchema-instance" xsi:type="dcterms:W3CDTF">2026-08-29T06:26:14Z</dcterms:modified>
  <cp:lastModifiedBy>Abdul Moeed Rehman</cp:lastModifiedBy>
</cp:coreProperties>
</file>