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URFACE\Downloads\"/>
    </mc:Choice>
  </mc:AlternateContent>
  <xr:revisionPtr revIDLastSave="0" documentId="13_ncr:1_{BA6C8BC5-335E-4589-891E-41B0E317E23F}" xr6:coauthVersionLast="47" xr6:coauthVersionMax="47" xr10:uidLastSave="{00000000-0000-0000-0000-000000000000}"/>
  <bookViews>
    <workbookView xWindow="-110" yWindow="-110" windowWidth="22780" windowHeight="14540" activeTab="1" xr2:uid="{00000000-000D-0000-FFFF-FFFF00000000}"/>
  </bookViews>
  <sheets>
    <sheet name="Dashboard" sheetId="2" r:id="rId1"/>
    <sheet name="Risk_Register" sheetId="1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O8" i="2"/>
  <c r="O7" i="2"/>
  <c r="O6" i="2"/>
  <c r="O5" i="2"/>
  <c r="F5" i="2"/>
  <c r="B5" i="2"/>
  <c r="P51" i="1"/>
  <c r="Q51" i="1" s="1"/>
  <c r="P50" i="1"/>
  <c r="Q50" i="1" s="1"/>
  <c r="Q49" i="1"/>
  <c r="P49" i="1"/>
  <c r="Q48" i="1"/>
  <c r="P48" i="1"/>
  <c r="P47" i="1"/>
  <c r="Q47" i="1" s="1"/>
  <c r="P46" i="1"/>
  <c r="Q46" i="1" s="1"/>
  <c r="Q45" i="1"/>
  <c r="P45" i="1"/>
  <c r="Q44" i="1"/>
  <c r="P44" i="1"/>
  <c r="P43" i="1"/>
  <c r="Q43" i="1" s="1"/>
  <c r="P42" i="1"/>
  <c r="Q42" i="1" s="1"/>
  <c r="Q41" i="1"/>
  <c r="P41" i="1"/>
  <c r="Q40" i="1"/>
  <c r="P40" i="1"/>
  <c r="P39" i="1"/>
  <c r="Q39" i="1" s="1"/>
  <c r="P38" i="1"/>
  <c r="Q38" i="1" s="1"/>
  <c r="Q37" i="1"/>
  <c r="P37" i="1"/>
  <c r="Q36" i="1"/>
  <c r="P36" i="1"/>
  <c r="P35" i="1"/>
  <c r="Q35" i="1" s="1"/>
  <c r="P34" i="1"/>
  <c r="Q34" i="1" s="1"/>
  <c r="Q33" i="1"/>
  <c r="P33" i="1"/>
  <c r="Q32" i="1"/>
  <c r="P32" i="1"/>
  <c r="P31" i="1"/>
  <c r="Q31" i="1" s="1"/>
  <c r="P30" i="1"/>
  <c r="Q30" i="1" s="1"/>
  <c r="Q29" i="1"/>
  <c r="P29" i="1"/>
  <c r="Q28" i="1"/>
  <c r="P28" i="1"/>
  <c r="P27" i="1"/>
  <c r="Q27" i="1" s="1"/>
  <c r="P26" i="1"/>
  <c r="Q26" i="1" s="1"/>
  <c r="Q25" i="1"/>
  <c r="P25" i="1"/>
  <c r="Q24" i="1"/>
  <c r="P24" i="1"/>
  <c r="P23" i="1"/>
  <c r="Q23" i="1" s="1"/>
  <c r="P22" i="1"/>
  <c r="Q22" i="1" s="1"/>
  <c r="Q21" i="1"/>
  <c r="P21" i="1"/>
  <c r="Q20" i="1"/>
  <c r="P20" i="1"/>
  <c r="P19" i="1"/>
  <c r="Q19" i="1" s="1"/>
  <c r="P18" i="1"/>
  <c r="Q18" i="1" s="1"/>
  <c r="Q17" i="1"/>
  <c r="P17" i="1"/>
  <c r="Q16" i="1"/>
  <c r="P16" i="1"/>
  <c r="P15" i="1"/>
  <c r="Q15" i="1" s="1"/>
  <c r="P14" i="1"/>
  <c r="Q14" i="1" s="1"/>
  <c r="Q13" i="1"/>
  <c r="P13" i="1"/>
  <c r="Q12" i="1"/>
  <c r="P12" i="1"/>
  <c r="P11" i="1"/>
  <c r="Q11" i="1" s="1"/>
  <c r="P10" i="1"/>
  <c r="Q10" i="1" s="1"/>
  <c r="Q9" i="1"/>
  <c r="P9" i="1"/>
  <c r="Q8" i="1"/>
  <c r="P8" i="1"/>
  <c r="P7" i="1"/>
  <c r="Q7" i="1" s="1"/>
  <c r="P6" i="1"/>
  <c r="Q6" i="1" s="1"/>
  <c r="Q5" i="1"/>
  <c r="P5" i="1"/>
  <c r="Q4" i="1"/>
  <c r="P4" i="1"/>
  <c r="P3" i="1"/>
  <c r="Q3" i="1" s="1"/>
  <c r="P2" i="1"/>
  <c r="D5" i="2" s="1"/>
  <c r="Q2" i="1" l="1"/>
  <c r="L8" i="2" l="1"/>
  <c r="L7" i="2"/>
  <c r="L6" i="2"/>
  <c r="L5" i="2"/>
</calcChain>
</file>

<file path=xl/sharedStrings.xml><?xml version="1.0" encoding="utf-8"?>
<sst xmlns="http://schemas.openxmlformats.org/spreadsheetml/2006/main" count="684" uniqueCount="275">
  <si>
    <t>Risk ID</t>
  </si>
  <si>
    <t>Domain</t>
  </si>
  <si>
    <t>NIST Function</t>
  </si>
  <si>
    <t>Risk Title</t>
  </si>
  <si>
    <t>Cause</t>
  </si>
  <si>
    <t>Event</t>
  </si>
  <si>
    <t>Business Impact</t>
  </si>
  <si>
    <t>Existing Controls</t>
  </si>
  <si>
    <t>Control Gaps</t>
  </si>
  <si>
    <t>Mitigation Plan</t>
  </si>
  <si>
    <t>Owner</t>
  </si>
  <si>
    <t>Due Date</t>
  </si>
  <si>
    <t>Status</t>
  </si>
  <si>
    <t>Likelihood (1-5)</t>
  </si>
  <si>
    <t>Impact (1-5)</t>
  </si>
  <si>
    <t>Score</t>
  </si>
  <si>
    <t>Rating</t>
  </si>
  <si>
    <t>R-001</t>
  </si>
  <si>
    <t>Third-Party Risk</t>
  </si>
  <si>
    <t>Identify</t>
  </si>
  <si>
    <t>Vendor Data Exposure</t>
  </si>
  <si>
    <t>Unpatched 3rd-party file transfer software</t>
  </si>
  <si>
    <t>Unauthorized data exfiltration</t>
  </si>
  <si>
    <t>2.8M employee records leaked</t>
  </si>
  <si>
    <t>Standard contracts</t>
  </si>
  <si>
    <t>No continuous patch monitoring</t>
  </si>
  <si>
    <t>Implement continuous vendor security audits</t>
  </si>
  <si>
    <t>Vendor Risk</t>
  </si>
  <si>
    <t>2026-08-01</t>
  </si>
  <si>
    <t>Open</t>
  </si>
  <si>
    <t>R-002</t>
  </si>
  <si>
    <t>Cloud Security</t>
  </si>
  <si>
    <t>Protect</t>
  </si>
  <si>
    <t>Compromised CI/CD Pipeline</t>
  </si>
  <si>
    <t>Upstream compromise in developer tool</t>
  </si>
  <si>
    <t>Stolen AWS API keys</t>
  </si>
  <si>
    <t>Unauthorized access to core AWS infrastructure</t>
  </si>
  <si>
    <t>Static access keys</t>
  </si>
  <si>
    <t>Over-privileged keys, no behavioral monitoring</t>
  </si>
  <si>
    <t>Rotate keys, enforce least privilege via AWS SCPs</t>
  </si>
  <si>
    <t>Cloud Sec</t>
  </si>
  <si>
    <t>2026-07-15</t>
  </si>
  <si>
    <t>In Progress</t>
  </si>
  <si>
    <t>R-003</t>
  </si>
  <si>
    <t>Identity &amp; Access</t>
  </si>
  <si>
    <t>Detect</t>
  </si>
  <si>
    <t>Hijacked Network Edge Devices</t>
  </si>
  <si>
    <t>Misconfigured customer routers on AWS</t>
  </si>
  <si>
    <t>State-sponsored credential harvesting</t>
  </si>
  <si>
    <t>Credential replay attacks disrupting logistics</t>
  </si>
  <si>
    <t>Basic firewalls</t>
  </si>
  <si>
    <t>No edge device auditing or replay detection</t>
  </si>
  <si>
    <t>Monthly edge audits, enable replay alerts</t>
  </si>
  <si>
    <t>Network Sec</t>
  </si>
  <si>
    <t>2026-07-30</t>
  </si>
  <si>
    <t>R-004</t>
  </si>
  <si>
    <t>Endpoint Security</t>
  </si>
  <si>
    <t>Malicious Code in Open-Source</t>
  </si>
  <si>
    <t>Implicit trust in open-source packages</t>
  </si>
  <si>
    <t>Poisoned packages infect developer laptops</t>
  </si>
  <si>
    <t>Malicious code bypasses endpoint security</t>
  </si>
  <si>
    <t>Standard antivirus</t>
  </si>
  <si>
    <t>No hardware MFA, unvetted software allowed</t>
  </si>
  <si>
    <t>Enforce hardware MFA, implement software allowlist</t>
  </si>
  <si>
    <t>AppSec</t>
  </si>
  <si>
    <t>2026-08-15</t>
  </si>
  <si>
    <t>R-005</t>
  </si>
  <si>
    <t>Recover</t>
  </si>
  <si>
    <t>Logistics Partner Ransomware</t>
  </si>
  <si>
    <t>Phishing attack on regional delivery partner</t>
  </si>
  <si>
    <t>Ransomware encrypts dispatch systems</t>
  </si>
  <si>
    <t>Regional delivery halts for 48 hours</t>
  </si>
  <si>
    <t>Email filtering</t>
  </si>
  <si>
    <t>Lack of mandated offline backups for vendors</t>
  </si>
  <si>
    <t>Require immutable backups in vendor contracts</t>
  </si>
  <si>
    <t>2026-09-01</t>
  </si>
  <si>
    <t>R-006</t>
  </si>
  <si>
    <t>S3 Bucket Misconfiguration</t>
  </si>
  <si>
    <t>Human error during infrastructure deployment</t>
  </si>
  <si>
    <t>Public exposure of internal shipping manifests</t>
  </si>
  <si>
    <t>Competitors access proprietary routing data</t>
  </si>
  <si>
    <t>Manual cloud reviews</t>
  </si>
  <si>
    <t>No automated posture management (CSPM)</t>
  </si>
  <si>
    <t>Deploy CSPM tools to block public S3 buckets</t>
  </si>
  <si>
    <t>2026-07-20</t>
  </si>
  <si>
    <t>Closed</t>
  </si>
  <si>
    <t>R-007</t>
  </si>
  <si>
    <t>Logging &amp; Monitoring</t>
  </si>
  <si>
    <t>Lack of API Traffic Visibility</t>
  </si>
  <si>
    <t>Undocumented shadow APIs used by mobile app</t>
  </si>
  <si>
    <t>Data scraping of product inventory</t>
  </si>
  <si>
    <t>Competitor price manipulation</t>
  </si>
  <si>
    <t>Web Application Firewall</t>
  </si>
  <si>
    <t>No dedicated API discovery and monitoring</t>
  </si>
  <si>
    <t>Implement API gateway with strict rate limiting</t>
  </si>
  <si>
    <t>2026-08-10</t>
  </si>
  <si>
    <t>R-008</t>
  </si>
  <si>
    <t>Overprivileged Cloud Admins (EU)</t>
  </si>
  <si>
    <t>Role creep over several years</t>
  </si>
  <si>
    <t>Insider threat or hijacked admin account</t>
  </si>
  <si>
    <t>Complete deletion of cloud storage buckets</t>
  </si>
  <si>
    <t>Annual access reviews</t>
  </si>
  <si>
    <t>Too much standing privilege, no Just-in-Time access</t>
  </si>
  <si>
    <t>Implement Just-in-Time (JIT) cloud access</t>
  </si>
  <si>
    <t>2026-11-01</t>
  </si>
  <si>
    <t>R-009</t>
  </si>
  <si>
    <t>Backup &amp; Recovery</t>
  </si>
  <si>
    <t>Insecure API on Mobile Delivery App (APAC)</t>
  </si>
  <si>
    <t>Rushed development cycle</t>
  </si>
  <si>
    <t>Driver route data scraped by competitors</t>
  </si>
  <si>
    <t>Loss of competitive advantage and privacy violation</t>
  </si>
  <si>
    <t>App store security reviews</t>
  </si>
  <si>
    <t>No API rate limiting or authentication checks</t>
  </si>
  <si>
    <t>Audit all mobile APIs and implement rate limiting</t>
  </si>
  <si>
    <t>2026-09-24</t>
  </si>
  <si>
    <t>R-010</t>
  </si>
  <si>
    <t>Missing Endpoint EDR on Contractor Laptops (NA)</t>
  </si>
  <si>
    <t>BYOD policy for seasonal warehouse contractors</t>
  </si>
  <si>
    <t>Contractor laptop introduces malware</t>
  </si>
  <si>
    <t>Local network infection</t>
  </si>
  <si>
    <t>Basic antivirus</t>
  </si>
  <si>
    <t>No advanced threat hunting or EDR</t>
  </si>
  <si>
    <t>Require virtual desktop (VDI) for all BYOD contractors</t>
  </si>
  <si>
    <t>Endpoint Sec</t>
  </si>
  <si>
    <t>2026-08-24</t>
  </si>
  <si>
    <t>R-011</t>
  </si>
  <si>
    <t>Overprivileged Cloud Admins (Global)</t>
  </si>
  <si>
    <t>2026-08-20</t>
  </si>
  <si>
    <t>R-012</t>
  </si>
  <si>
    <t>Vulnerability Management</t>
  </si>
  <si>
    <t>Missing Endpoint EDR on Contractor Laptops (APAC)</t>
  </si>
  <si>
    <t>2026-08-28</t>
  </si>
  <si>
    <t>R-013</t>
  </si>
  <si>
    <t>Insecure API on Mobile Delivery App (EU)</t>
  </si>
  <si>
    <t>N/A</t>
  </si>
  <si>
    <t>R-014</t>
  </si>
  <si>
    <t>Unpatched Warehouse IoT Devices (NA)</t>
  </si>
  <si>
    <t>Outdated firmware on barcode scanners</t>
  </si>
  <si>
    <t>Malware infection spreading through warehouse LAN</t>
  </si>
  <si>
    <t>Sortation center downtime</t>
  </si>
  <si>
    <t>Segmented guest network</t>
  </si>
  <si>
    <t>No IoT patch management</t>
  </si>
  <si>
    <t>Implement automated IoT firmware updates</t>
  </si>
  <si>
    <t>OT Security</t>
  </si>
  <si>
    <t>2026-08-25</t>
  </si>
  <si>
    <t>R-015</t>
  </si>
  <si>
    <t>Third-Party HVAC Vendor Access (NA)</t>
  </si>
  <si>
    <t>HVAC vendor given direct VPN access</t>
  </si>
  <si>
    <t>Vendor compromised, attackers pivot to corporate network</t>
  </si>
  <si>
    <t>Massive corporate data breach</t>
  </si>
  <si>
    <t>VPN requirements</t>
  </si>
  <si>
    <t>Vendor network not segmented from corporate LAN</t>
  </si>
  <si>
    <t>Enforce strict network segmentation for all facility vendors</t>
  </si>
  <si>
    <t>2026-10-13</t>
  </si>
  <si>
    <t>R-016</t>
  </si>
  <si>
    <t>Missing Endpoint EDR on Contractor Laptops (EU)</t>
  </si>
  <si>
    <t>2026-11-22</t>
  </si>
  <si>
    <t>R-017</t>
  </si>
  <si>
    <t>Insecure API on Mobile Delivery App (NA)</t>
  </si>
  <si>
    <t>2026-08-26</t>
  </si>
  <si>
    <t>R-018</t>
  </si>
  <si>
    <t>Lack of MFA on HR Portal (EU)</t>
  </si>
  <si>
    <t>Legacy authentication system</t>
  </si>
  <si>
    <t>Phishing attack leading to account takeover</t>
  </si>
  <si>
    <t>Payroll fraud and employee data theft</t>
  </si>
  <si>
    <t>Password complexity rules</t>
  </si>
  <si>
    <t>No multi-factor authentication</t>
  </si>
  <si>
    <t>Roll out FIDO2 hardware keys</t>
  </si>
  <si>
    <t>Identity Team</t>
  </si>
  <si>
    <t>2026-12-09</t>
  </si>
  <si>
    <t>R-019</t>
  </si>
  <si>
    <t>Untested Regional Backups (APAC)</t>
  </si>
  <si>
    <t>No scheduled disaster recovery drills</t>
  </si>
  <si>
    <t>Ransomware hits regional hub</t>
  </si>
  <si>
    <t>Unable to restore data within 24 hours</t>
  </si>
  <si>
    <t>Weekly cloud backups</t>
  </si>
  <si>
    <t>Backups have never been tested for restoration speed</t>
  </si>
  <si>
    <t>Conduct quarterly DR tabletop and restore tests</t>
  </si>
  <si>
    <t>Disaster Recovery</t>
  </si>
  <si>
    <t>R-020</t>
  </si>
  <si>
    <t>Third-Party HVAC Vendor Access (EU)</t>
  </si>
  <si>
    <t>2026-08-21</t>
  </si>
  <si>
    <t>R-021</t>
  </si>
  <si>
    <t>Accepted</t>
  </si>
  <si>
    <t>R-022</t>
  </si>
  <si>
    <t>2026-10-21</t>
  </si>
  <si>
    <t>R-023</t>
  </si>
  <si>
    <t>R-024</t>
  </si>
  <si>
    <t>R-025</t>
  </si>
  <si>
    <t>Insecure API on Mobile Delivery App (LATAM)</t>
  </si>
  <si>
    <t>2026-08-03</t>
  </si>
  <si>
    <t>R-026</t>
  </si>
  <si>
    <t>R-027</t>
  </si>
  <si>
    <t>Missing Endpoint EDR on Contractor Laptops (Global)</t>
  </si>
  <si>
    <t>2026-11-11</t>
  </si>
  <si>
    <t>R-028</t>
  </si>
  <si>
    <t>2026-10-15</t>
  </si>
  <si>
    <t>R-029</t>
  </si>
  <si>
    <t>Overprivileged Cloud Admins (APAC)</t>
  </si>
  <si>
    <t>2026-10-25</t>
  </si>
  <si>
    <t>R-030</t>
  </si>
  <si>
    <t>Lack of MFA on HR Portal (APAC)</t>
  </si>
  <si>
    <t>R-031</t>
  </si>
  <si>
    <t>Lack of Centralized Log Retention (EU)</t>
  </si>
  <si>
    <t>Storage cost savings</t>
  </si>
  <si>
    <t>Security breach goes undetected for months</t>
  </si>
  <si>
    <t>Inability to perform forensics post-breach</t>
  </si>
  <si>
    <t>Local server logs (30 days)</t>
  </si>
  <si>
    <t>Logs not sent to a central SIEM for correlation</t>
  </si>
  <si>
    <t>Forward all critical system logs to SIEM with 1-year retention</t>
  </si>
  <si>
    <t>SecOps</t>
  </si>
  <si>
    <t>R-032</t>
  </si>
  <si>
    <t>Lack of MFA on HR Portal (Global)</t>
  </si>
  <si>
    <t>2026-11-21</t>
  </si>
  <si>
    <t>R-033</t>
  </si>
  <si>
    <t>2026-10-02</t>
  </si>
  <si>
    <t>R-034</t>
  </si>
  <si>
    <t>2026-09-17</t>
  </si>
  <si>
    <t>R-035</t>
  </si>
  <si>
    <t>Delivery Fleet GPS Spoofing (LATAM)</t>
  </si>
  <si>
    <t>Unencrypted GPS signals on delivery vans</t>
  </si>
  <si>
    <t>Attackers feed false location data</t>
  </si>
  <si>
    <t>Stolen cargo and delayed deliveries</t>
  </si>
  <si>
    <t>Physical van locks</t>
  </si>
  <si>
    <t>No signal encryption or anomaly detection</t>
  </si>
  <si>
    <t>Upgrade fleet telematics to encrypted standard</t>
  </si>
  <si>
    <t>Fleet Ops</t>
  </si>
  <si>
    <t>2026-10-01</t>
  </si>
  <si>
    <t>R-036</t>
  </si>
  <si>
    <t>R-037</t>
  </si>
  <si>
    <t>R-038</t>
  </si>
  <si>
    <t>Overprivileged Cloud Admins (LATAM)</t>
  </si>
  <si>
    <t>R-039</t>
  </si>
  <si>
    <t>2026-08-08</t>
  </si>
  <si>
    <t>R-040</t>
  </si>
  <si>
    <t>Lack of Centralized Log Retention (Global)</t>
  </si>
  <si>
    <t>2026-08-02</t>
  </si>
  <si>
    <t>R-041</t>
  </si>
  <si>
    <t>Unpatched Warehouse IoT Devices (Global)</t>
  </si>
  <si>
    <t>2026-07-23</t>
  </si>
  <si>
    <t>R-042</t>
  </si>
  <si>
    <t>Third-Party HVAC Vendor Access (LATAM)</t>
  </si>
  <si>
    <t>2026-10-08</t>
  </si>
  <si>
    <t>R-043</t>
  </si>
  <si>
    <t>Unpatched Warehouse IoT Devices (APAC)</t>
  </si>
  <si>
    <t>R-044</t>
  </si>
  <si>
    <t>2026-09-21</t>
  </si>
  <si>
    <t>R-045</t>
  </si>
  <si>
    <t>R-046</t>
  </si>
  <si>
    <t>Delivery Fleet GPS Spoofing (APAC)</t>
  </si>
  <si>
    <t>2026-11-15</t>
  </si>
  <si>
    <t>R-047</t>
  </si>
  <si>
    <t>Legacy WMS Database Exposure (NA)</t>
  </si>
  <si>
    <t>End-of-life Warehouse Management System</t>
  </si>
  <si>
    <t>SQL injection attack on internal portal</t>
  </si>
  <si>
    <t>Loss of inventory accuracy</t>
  </si>
  <si>
    <t>Internal firewalls</t>
  </si>
  <si>
    <t>System cannot be patched</t>
  </si>
  <si>
    <t>Migrate to modern cloud WMS</t>
  </si>
  <si>
    <t>Logistics IT</t>
  </si>
  <si>
    <t>2026-11-03</t>
  </si>
  <si>
    <t>R-048</t>
  </si>
  <si>
    <t>R-049</t>
  </si>
  <si>
    <t>R-050</t>
  </si>
  <si>
    <t>Cybersecurity Risk Register Dashboard</t>
  </si>
  <si>
    <t>Total Risks</t>
  </si>
  <si>
    <t>Average Score</t>
  </si>
  <si>
    <t>Open Risks</t>
  </si>
  <si>
    <t>Severity</t>
  </si>
  <si>
    <t>Count</t>
  </si>
  <si>
    <t>Critical</t>
  </si>
  <si>
    <t>High</t>
  </si>
  <si>
    <t>Medium</t>
  </si>
  <si>
    <t>Low</t>
  </si>
  <si>
    <t>Respond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</si>
</sst>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20"/>
      <color rgb="FF1F4E78"/>
      <name val="Calibri"/>
    </font>
    <font>
      <b/>
      <sz val="1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  <fill>
      <patternFill patternType="solid">
        <fgColor rgb="FF44546A"/>
        <bgColor rgb="FF44546A"/>
      </patternFill>
    </fill>
  </fills>
  <borders count="5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horizontal="center" vertical="top" wrapText="1"/>
    </xf>
    <xf numFmtId="0" fontId="0" fillId="4" borderId="1" xfId="0" applyFill="1" applyBorder="1" applyAlignment="1">
      <alignment vertical="top" wrapText="1"/>
    </xf>
    <xf numFmtId="0" fontId="0" fillId="5" borderId="0" xfId="0" applyFill="1"/>
    <xf numFmtId="0" fontId="1" fillId="6" borderId="0" xfId="0" applyFont="1" applyFill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Risks by Severity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Dashboard!$L$4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Dashboard!$K$5:$K$8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Dashboard!$L$5:$L$8</c:f>
              <c:numCache>
                <c:formatCode>General</c:formatCode>
                <c:ptCount val="4"/>
                <c:pt idx="0">
                  <c:v>19</c:v>
                </c:pt>
                <c:pt idx="1">
                  <c:v>9</c:v>
                </c:pt>
                <c:pt idx="2">
                  <c:v>11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F-4337-8559-AF11F4CD05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layout>
        <c:manualLayout>
          <c:xMode val="edge"/>
          <c:yMode val="edge"/>
          <c:x val="0.75272008724449457"/>
          <c:y val="0.3473332700882269"/>
          <c:w val="0.13038029394991446"/>
          <c:h val="0.3485862821364196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Risks by NIST Function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Dashboard!$O$4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Dashboard!$N$5:$N$9</c:f>
              <c:strCache>
                <c:ptCount val="5"/>
                <c:pt idx="0">
                  <c:v>Identify</c:v>
                </c:pt>
                <c:pt idx="1">
                  <c:v>Protect</c:v>
                </c:pt>
                <c:pt idx="2">
                  <c:v>Detect</c:v>
                </c:pt>
                <c:pt idx="3">
                  <c:v>Respond</c:v>
                </c:pt>
                <c:pt idx="4">
                  <c:v>Recover</c:v>
                </c:pt>
              </c:strCache>
            </c:strRef>
          </c:cat>
          <c:val>
            <c:numRef>
              <c:f>Dashboard!$O$5:$O$9</c:f>
              <c:numCache>
                <c:formatCode>General</c:formatCode>
                <c:ptCount val="5"/>
                <c:pt idx="0">
                  <c:v>13</c:v>
                </c:pt>
                <c:pt idx="1">
                  <c:v>18</c:v>
                </c:pt>
                <c:pt idx="2">
                  <c:v>9</c:v>
                </c:pt>
                <c:pt idx="3">
                  <c:v>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D4-4471-A275-EFDD564D6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12700</xdr:colOff>
      <xdr:row>5</xdr:row>
      <xdr:rowOff>171450</xdr:rowOff>
    </xdr:from>
    <xdr:ext cx="4997450" cy="26352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21</xdr:row>
      <xdr:rowOff>0</xdr:rowOff>
    </xdr:from>
    <xdr:ext cx="5003800" cy="263525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8"/>
  <sheetViews>
    <sheetView showGridLines="0" zoomScale="82" workbookViewId="0">
      <selection activeCell="J26" sqref="J26"/>
    </sheetView>
  </sheetViews>
  <sheetFormatPr defaultRowHeight="14.5" x14ac:dyDescent="0.35"/>
  <cols>
    <col min="2" max="2" width="18" customWidth="1"/>
    <col min="4" max="4" width="18" customWidth="1"/>
    <col min="6" max="6" width="18" customWidth="1"/>
    <col min="11" max="12" width="13" customWidth="1"/>
    <col min="14" max="15" width="13" customWidth="1"/>
  </cols>
  <sheetData>
    <row r="1" spans="1:19" ht="15" thickBot="1" x14ac:dyDescent="0.4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</row>
    <row r="2" spans="1:19" ht="26.5" thickBot="1" x14ac:dyDescent="0.65">
      <c r="A2" s="6"/>
      <c r="B2" s="9" t="s">
        <v>264</v>
      </c>
      <c r="C2" s="10"/>
      <c r="D2" s="10"/>
      <c r="E2" s="10"/>
      <c r="F2" s="11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x14ac:dyDescent="0.35">
      <c r="A4" s="6"/>
      <c r="B4" s="7" t="s">
        <v>265</v>
      </c>
      <c r="C4" s="6"/>
      <c r="D4" s="7" t="s">
        <v>266</v>
      </c>
      <c r="E4" s="6"/>
      <c r="F4" s="7" t="s">
        <v>267</v>
      </c>
      <c r="G4" s="6"/>
      <c r="H4" s="6"/>
      <c r="I4" s="6"/>
      <c r="J4" s="6"/>
      <c r="K4" s="6" t="s">
        <v>268</v>
      </c>
      <c r="L4" s="6" t="s">
        <v>269</v>
      </c>
      <c r="M4" s="6"/>
      <c r="N4" s="6" t="s">
        <v>2</v>
      </c>
      <c r="O4" s="6" t="s">
        <v>269</v>
      </c>
      <c r="P4" s="6"/>
      <c r="Q4" s="6"/>
      <c r="R4" s="6"/>
      <c r="S4" s="6"/>
    </row>
    <row r="5" spans="1:19" ht="23.5" x14ac:dyDescent="0.35">
      <c r="A5" s="6"/>
      <c r="B5" s="8">
        <f>COUNTA(Risk_Register!A2:A100)</f>
        <v>50</v>
      </c>
      <c r="C5" s="6"/>
      <c r="D5" s="8">
        <f>IFERROR(AVERAGE(Risk_Register!P2:P100), 0)</f>
        <v>11.34</v>
      </c>
      <c r="E5" s="6"/>
      <c r="F5" s="8">
        <f>COUNTIF(Risk_Register!M:M, "Open")</f>
        <v>24</v>
      </c>
      <c r="G5" s="6"/>
      <c r="H5" s="6"/>
      <c r="I5" s="6"/>
      <c r="J5" s="6"/>
      <c r="K5" s="6" t="s">
        <v>270</v>
      </c>
      <c r="L5" s="6">
        <f>COUNTIF(Risk_Register!Q:Q, "Critical")</f>
        <v>19</v>
      </c>
      <c r="M5" s="6"/>
      <c r="N5" s="6" t="s">
        <v>19</v>
      </c>
      <c r="O5" s="6">
        <f>COUNTIF(Risk_Register!C:C, "Identify")</f>
        <v>13</v>
      </c>
      <c r="P5" s="6"/>
      <c r="Q5" s="6"/>
      <c r="R5" s="6"/>
      <c r="S5" s="6"/>
    </row>
    <row r="6" spans="1:19" x14ac:dyDescent="0.35">
      <c r="A6" s="6"/>
      <c r="B6" s="6"/>
      <c r="C6" s="6"/>
      <c r="D6" s="6"/>
      <c r="E6" s="6"/>
      <c r="F6" s="6"/>
      <c r="G6" s="6"/>
      <c r="H6" s="6"/>
      <c r="I6" s="6"/>
      <c r="J6" s="6"/>
      <c r="K6" s="6" t="s">
        <v>271</v>
      </c>
      <c r="L6" s="6">
        <f>COUNTIF(Risk_Register!Q:Q, "High")</f>
        <v>9</v>
      </c>
      <c r="M6" s="6"/>
      <c r="N6" s="6" t="s">
        <v>32</v>
      </c>
      <c r="O6" s="6">
        <f>COUNTIF(Risk_Register!C:C, "Protect")</f>
        <v>18</v>
      </c>
      <c r="P6" s="6"/>
      <c r="Q6" s="6"/>
      <c r="R6" s="6"/>
      <c r="S6" s="6"/>
    </row>
    <row r="7" spans="1:19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 t="s">
        <v>272</v>
      </c>
      <c r="L7" s="6">
        <f>COUNTIF(Risk_Register!Q:Q, "Medium")</f>
        <v>11</v>
      </c>
      <c r="M7" s="6"/>
      <c r="N7" s="6" t="s">
        <v>45</v>
      </c>
      <c r="O7" s="6">
        <f>COUNTIF(Risk_Register!C:C, "Detect")</f>
        <v>9</v>
      </c>
      <c r="P7" s="6"/>
      <c r="Q7" s="6"/>
      <c r="R7" s="6"/>
      <c r="S7" s="6"/>
    </row>
    <row r="8" spans="1:19" x14ac:dyDescent="0.35">
      <c r="A8" s="6"/>
      <c r="B8" s="6"/>
      <c r="C8" s="6"/>
      <c r="D8" s="6"/>
      <c r="E8" s="6"/>
      <c r="F8" s="6"/>
      <c r="G8" s="6"/>
      <c r="H8" s="6"/>
      <c r="I8" s="6"/>
      <c r="J8" s="6"/>
      <c r="K8" s="6" t="s">
        <v>273</v>
      </c>
      <c r="L8" s="6">
        <f>COUNTIF(Risk_Register!Q:Q, "Low")</f>
        <v>11</v>
      </c>
      <c r="M8" s="6"/>
      <c r="N8" s="6" t="s">
        <v>274</v>
      </c>
      <c r="O8" s="6">
        <f>COUNTIF(Risk_Register!C:C, "Respond")</f>
        <v>0</v>
      </c>
      <c r="P8" s="6"/>
      <c r="Q8" s="6"/>
      <c r="R8" s="6"/>
      <c r="S8" s="6"/>
    </row>
    <row r="9" spans="1:19" x14ac:dyDescent="0.3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 t="s">
        <v>67</v>
      </c>
      <c r="O9" s="6">
        <f>COUNTIF(Risk_Register!C:C, "Recover")</f>
        <v>10</v>
      </c>
      <c r="P9" s="6"/>
      <c r="Q9" s="6"/>
      <c r="R9" s="6"/>
      <c r="S9" s="6"/>
    </row>
    <row r="10" spans="1:19" x14ac:dyDescent="0.3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</row>
    <row r="11" spans="1:19" x14ac:dyDescent="0.3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x14ac:dyDescent="0.3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</row>
    <row r="13" spans="1:19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x14ac:dyDescent="0.3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</row>
    <row r="15" spans="1:19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</row>
    <row r="16" spans="1:19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19" x14ac:dyDescent="0.3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</row>
    <row r="18" spans="1:19" x14ac:dyDescent="0.3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</row>
    <row r="19" spans="1:19" x14ac:dyDescent="0.3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</row>
    <row r="20" spans="1:19" x14ac:dyDescent="0.3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 x14ac:dyDescent="0.3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</row>
    <row r="23" spans="1:19" x14ac:dyDescent="0.3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</row>
    <row r="24" spans="1:19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</row>
    <row r="25" spans="1:19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</row>
    <row r="26" spans="1:19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spans="1:19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19" x14ac:dyDescent="0.3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19" x14ac:dyDescent="0.3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spans="1:19" x14ac:dyDescent="0.3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</row>
    <row r="31" spans="1:19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</row>
    <row r="32" spans="1:19" x14ac:dyDescent="0.3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</row>
    <row r="33" spans="1:19" x14ac:dyDescent="0.3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</row>
    <row r="34" spans="1:19" x14ac:dyDescent="0.3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</row>
    <row r="35" spans="1:19" x14ac:dyDescent="0.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</row>
    <row r="36" spans="1:19" x14ac:dyDescent="0.3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</row>
    <row r="37" spans="1:19" x14ac:dyDescent="0.3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</row>
    <row r="38" spans="1:19" x14ac:dyDescent="0.3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</row>
  </sheetData>
  <mergeCells count="1">
    <mergeCell ref="B2:F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tabSelected="1" zoomScale="93" workbookViewId="0">
      <pane ySplit="1" topLeftCell="A41" activePane="bottomLeft" state="frozen"/>
      <selection pane="bottomLeft" activeCell="E50" sqref="E50"/>
    </sheetView>
  </sheetViews>
  <sheetFormatPr defaultRowHeight="14.5" x14ac:dyDescent="0.35"/>
  <cols>
    <col min="1" max="1" width="10" customWidth="1"/>
    <col min="2" max="2" width="20" customWidth="1"/>
    <col min="3" max="3" width="15" customWidth="1"/>
    <col min="4" max="4" width="30" customWidth="1"/>
    <col min="5" max="7" width="35" customWidth="1"/>
    <col min="8" max="8" width="25" customWidth="1"/>
    <col min="9" max="9" width="30" customWidth="1"/>
    <col min="10" max="10" width="35" customWidth="1"/>
    <col min="11" max="15" width="15" customWidth="1"/>
    <col min="16" max="16" width="10" customWidth="1"/>
    <col min="17" max="17" width="1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29" x14ac:dyDescent="0.35">
      <c r="A2" s="2" t="s">
        <v>17</v>
      </c>
      <c r="B2" s="2" t="s">
        <v>18</v>
      </c>
      <c r="C2" s="2" t="s">
        <v>19</v>
      </c>
      <c r="D2" s="3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3" t="s">
        <v>25</v>
      </c>
      <c r="J2" s="3" t="s">
        <v>26</v>
      </c>
      <c r="K2" s="2" t="s">
        <v>27</v>
      </c>
      <c r="L2" s="2" t="s">
        <v>28</v>
      </c>
      <c r="M2" s="2" t="s">
        <v>29</v>
      </c>
      <c r="N2" s="2">
        <v>4</v>
      </c>
      <c r="O2" s="2">
        <v>5</v>
      </c>
      <c r="P2" s="2">
        <f t="shared" ref="P2:P33" si="0">N2*O2</f>
        <v>20</v>
      </c>
      <c r="Q2" s="2" t="str">
        <f t="shared" ref="Q2:Q33" si="1">IF(P2&gt;=15, "Critical", IF(P2&gt;=10, "High", IF(P2&gt;=5, "Medium", "Low")))</f>
        <v>Critical</v>
      </c>
    </row>
    <row r="3" spans="1:17" ht="29" x14ac:dyDescent="0.35">
      <c r="A3" s="4" t="s">
        <v>30</v>
      </c>
      <c r="B3" s="4" t="s">
        <v>31</v>
      </c>
      <c r="C3" s="4" t="s">
        <v>32</v>
      </c>
      <c r="D3" s="5" t="s">
        <v>33</v>
      </c>
      <c r="E3" s="5" t="s">
        <v>34</v>
      </c>
      <c r="F3" s="5" t="s">
        <v>35</v>
      </c>
      <c r="G3" s="5" t="s">
        <v>36</v>
      </c>
      <c r="H3" s="5" t="s">
        <v>37</v>
      </c>
      <c r="I3" s="5" t="s">
        <v>38</v>
      </c>
      <c r="J3" s="5" t="s">
        <v>39</v>
      </c>
      <c r="K3" s="4" t="s">
        <v>40</v>
      </c>
      <c r="L3" s="4" t="s">
        <v>41</v>
      </c>
      <c r="M3" s="4" t="s">
        <v>42</v>
      </c>
      <c r="N3" s="4">
        <v>4</v>
      </c>
      <c r="O3" s="4">
        <v>4</v>
      </c>
      <c r="P3" s="4">
        <f t="shared" si="0"/>
        <v>16</v>
      </c>
      <c r="Q3" s="4" t="str">
        <f t="shared" si="1"/>
        <v>Critical</v>
      </c>
    </row>
    <row r="4" spans="1:17" ht="29" x14ac:dyDescent="0.35">
      <c r="A4" s="2" t="s">
        <v>43</v>
      </c>
      <c r="B4" s="2" t="s">
        <v>44</v>
      </c>
      <c r="C4" s="2" t="s">
        <v>45</v>
      </c>
      <c r="D4" s="3" t="s">
        <v>46</v>
      </c>
      <c r="E4" s="3" t="s">
        <v>47</v>
      </c>
      <c r="F4" s="3" t="s">
        <v>48</v>
      </c>
      <c r="G4" s="3" t="s">
        <v>49</v>
      </c>
      <c r="H4" s="3" t="s">
        <v>50</v>
      </c>
      <c r="I4" s="3" t="s">
        <v>51</v>
      </c>
      <c r="J4" s="3" t="s">
        <v>52</v>
      </c>
      <c r="K4" s="2" t="s">
        <v>53</v>
      </c>
      <c r="L4" s="2" t="s">
        <v>54</v>
      </c>
      <c r="M4" s="2" t="s">
        <v>29</v>
      </c>
      <c r="N4" s="2">
        <v>3</v>
      </c>
      <c r="O4" s="2">
        <v>5</v>
      </c>
      <c r="P4" s="2">
        <f t="shared" si="0"/>
        <v>15</v>
      </c>
      <c r="Q4" s="2" t="str">
        <f t="shared" si="1"/>
        <v>Critical</v>
      </c>
    </row>
    <row r="5" spans="1:17" ht="29" x14ac:dyDescent="0.35">
      <c r="A5" s="4" t="s">
        <v>55</v>
      </c>
      <c r="B5" s="4" t="s">
        <v>56</v>
      </c>
      <c r="C5" s="4" t="s">
        <v>32</v>
      </c>
      <c r="D5" s="5" t="s">
        <v>57</v>
      </c>
      <c r="E5" s="5" t="s">
        <v>58</v>
      </c>
      <c r="F5" s="5" t="s">
        <v>59</v>
      </c>
      <c r="G5" s="5" t="s">
        <v>60</v>
      </c>
      <c r="H5" s="5" t="s">
        <v>61</v>
      </c>
      <c r="I5" s="5" t="s">
        <v>62</v>
      </c>
      <c r="J5" s="5" t="s">
        <v>63</v>
      </c>
      <c r="K5" s="4" t="s">
        <v>64</v>
      </c>
      <c r="L5" s="4" t="s">
        <v>65</v>
      </c>
      <c r="M5" s="4" t="s">
        <v>29</v>
      </c>
      <c r="N5" s="4">
        <v>4</v>
      </c>
      <c r="O5" s="4">
        <v>3</v>
      </c>
      <c r="P5" s="4">
        <f t="shared" si="0"/>
        <v>12</v>
      </c>
      <c r="Q5" s="4" t="str">
        <f t="shared" si="1"/>
        <v>High</v>
      </c>
    </row>
    <row r="6" spans="1:17" ht="29" x14ac:dyDescent="0.35">
      <c r="A6" s="2" t="s">
        <v>66</v>
      </c>
      <c r="B6" s="2" t="s">
        <v>18</v>
      </c>
      <c r="C6" s="2" t="s">
        <v>67</v>
      </c>
      <c r="D6" s="3" t="s">
        <v>68</v>
      </c>
      <c r="E6" s="3" t="s">
        <v>69</v>
      </c>
      <c r="F6" s="3" t="s">
        <v>70</v>
      </c>
      <c r="G6" s="3" t="s">
        <v>71</v>
      </c>
      <c r="H6" s="3" t="s">
        <v>72</v>
      </c>
      <c r="I6" s="3" t="s">
        <v>73</v>
      </c>
      <c r="J6" s="3" t="s">
        <v>74</v>
      </c>
      <c r="K6" s="2" t="s">
        <v>27</v>
      </c>
      <c r="L6" s="2" t="s">
        <v>75</v>
      </c>
      <c r="M6" s="2" t="s">
        <v>29</v>
      </c>
      <c r="N6" s="2">
        <v>3</v>
      </c>
      <c r="O6" s="2">
        <v>4</v>
      </c>
      <c r="P6" s="2">
        <f t="shared" si="0"/>
        <v>12</v>
      </c>
      <c r="Q6" s="2" t="str">
        <f t="shared" si="1"/>
        <v>High</v>
      </c>
    </row>
    <row r="7" spans="1:17" ht="29" x14ac:dyDescent="0.35">
      <c r="A7" s="4" t="s">
        <v>76</v>
      </c>
      <c r="B7" s="4" t="s">
        <v>31</v>
      </c>
      <c r="C7" s="4" t="s">
        <v>32</v>
      </c>
      <c r="D7" s="5" t="s">
        <v>77</v>
      </c>
      <c r="E7" s="5" t="s">
        <v>78</v>
      </c>
      <c r="F7" s="5" t="s">
        <v>79</v>
      </c>
      <c r="G7" s="5" t="s">
        <v>80</v>
      </c>
      <c r="H7" s="5" t="s">
        <v>81</v>
      </c>
      <c r="I7" s="5" t="s">
        <v>82</v>
      </c>
      <c r="J7" s="5" t="s">
        <v>83</v>
      </c>
      <c r="K7" s="4" t="s">
        <v>40</v>
      </c>
      <c r="L7" s="4" t="s">
        <v>84</v>
      </c>
      <c r="M7" s="4" t="s">
        <v>85</v>
      </c>
      <c r="N7" s="4">
        <v>2</v>
      </c>
      <c r="O7" s="4">
        <v>4</v>
      </c>
      <c r="P7" s="4">
        <f t="shared" si="0"/>
        <v>8</v>
      </c>
      <c r="Q7" s="4" t="str">
        <f t="shared" si="1"/>
        <v>Medium</v>
      </c>
    </row>
    <row r="8" spans="1:17" ht="29" x14ac:dyDescent="0.35">
      <c r="A8" s="2" t="s">
        <v>86</v>
      </c>
      <c r="B8" s="2" t="s">
        <v>87</v>
      </c>
      <c r="C8" s="2" t="s">
        <v>45</v>
      </c>
      <c r="D8" s="3" t="s">
        <v>88</v>
      </c>
      <c r="E8" s="3" t="s">
        <v>89</v>
      </c>
      <c r="F8" s="3" t="s">
        <v>90</v>
      </c>
      <c r="G8" s="3" t="s">
        <v>91</v>
      </c>
      <c r="H8" s="3" t="s">
        <v>92</v>
      </c>
      <c r="I8" s="3" t="s">
        <v>93</v>
      </c>
      <c r="J8" s="3" t="s">
        <v>94</v>
      </c>
      <c r="K8" s="2" t="s">
        <v>64</v>
      </c>
      <c r="L8" s="2" t="s">
        <v>95</v>
      </c>
      <c r="M8" s="2" t="s">
        <v>42</v>
      </c>
      <c r="N8" s="2">
        <v>4</v>
      </c>
      <c r="O8" s="2">
        <v>3</v>
      </c>
      <c r="P8" s="2">
        <f t="shared" si="0"/>
        <v>12</v>
      </c>
      <c r="Q8" s="2" t="str">
        <f t="shared" si="1"/>
        <v>High</v>
      </c>
    </row>
    <row r="9" spans="1:17" ht="29" x14ac:dyDescent="0.35">
      <c r="A9" s="4" t="s">
        <v>96</v>
      </c>
      <c r="B9" s="4" t="s">
        <v>18</v>
      </c>
      <c r="C9" s="4" t="s">
        <v>19</v>
      </c>
      <c r="D9" s="5" t="s">
        <v>97</v>
      </c>
      <c r="E9" s="5" t="s">
        <v>98</v>
      </c>
      <c r="F9" s="5" t="s">
        <v>99</v>
      </c>
      <c r="G9" s="5" t="s">
        <v>100</v>
      </c>
      <c r="H9" s="5" t="s">
        <v>101</v>
      </c>
      <c r="I9" s="5" t="s">
        <v>102</v>
      </c>
      <c r="J9" s="5" t="s">
        <v>103</v>
      </c>
      <c r="K9" s="4" t="s">
        <v>40</v>
      </c>
      <c r="L9" s="4" t="s">
        <v>104</v>
      </c>
      <c r="M9" s="4" t="s">
        <v>29</v>
      </c>
      <c r="N9" s="4">
        <v>4</v>
      </c>
      <c r="O9" s="4">
        <v>4</v>
      </c>
      <c r="P9" s="4">
        <f t="shared" si="0"/>
        <v>16</v>
      </c>
      <c r="Q9" s="4" t="str">
        <f t="shared" si="1"/>
        <v>Critical</v>
      </c>
    </row>
    <row r="10" spans="1:17" ht="29" x14ac:dyDescent="0.35">
      <c r="A10" s="2" t="s">
        <v>105</v>
      </c>
      <c r="B10" s="2" t="s">
        <v>106</v>
      </c>
      <c r="C10" s="2" t="s">
        <v>67</v>
      </c>
      <c r="D10" s="3" t="s">
        <v>107</v>
      </c>
      <c r="E10" s="3" t="s">
        <v>108</v>
      </c>
      <c r="F10" s="3" t="s">
        <v>109</v>
      </c>
      <c r="G10" s="3" t="s">
        <v>110</v>
      </c>
      <c r="H10" s="3" t="s">
        <v>111</v>
      </c>
      <c r="I10" s="3" t="s">
        <v>112</v>
      </c>
      <c r="J10" s="3" t="s">
        <v>113</v>
      </c>
      <c r="K10" s="2" t="s">
        <v>64</v>
      </c>
      <c r="L10" s="2" t="s">
        <v>114</v>
      </c>
      <c r="M10" s="2" t="s">
        <v>29</v>
      </c>
      <c r="N10" s="2">
        <v>3</v>
      </c>
      <c r="O10" s="2">
        <v>3</v>
      </c>
      <c r="P10" s="2">
        <f t="shared" si="0"/>
        <v>9</v>
      </c>
      <c r="Q10" s="2" t="str">
        <f t="shared" si="1"/>
        <v>Medium</v>
      </c>
    </row>
    <row r="11" spans="1:17" ht="29" x14ac:dyDescent="0.35">
      <c r="A11" s="4" t="s">
        <v>115</v>
      </c>
      <c r="B11" s="4" t="s">
        <v>106</v>
      </c>
      <c r="C11" s="4" t="s">
        <v>67</v>
      </c>
      <c r="D11" s="5" t="s">
        <v>116</v>
      </c>
      <c r="E11" s="5" t="s">
        <v>117</v>
      </c>
      <c r="F11" s="5" t="s">
        <v>118</v>
      </c>
      <c r="G11" s="5" t="s">
        <v>119</v>
      </c>
      <c r="H11" s="5" t="s">
        <v>120</v>
      </c>
      <c r="I11" s="5" t="s">
        <v>121</v>
      </c>
      <c r="J11" s="5" t="s">
        <v>122</v>
      </c>
      <c r="K11" s="4" t="s">
        <v>123</v>
      </c>
      <c r="L11" s="4" t="s">
        <v>124</v>
      </c>
      <c r="M11" s="4" t="s">
        <v>42</v>
      </c>
      <c r="N11" s="4">
        <v>4</v>
      </c>
      <c r="O11" s="4">
        <v>4</v>
      </c>
      <c r="P11" s="4">
        <f t="shared" si="0"/>
        <v>16</v>
      </c>
      <c r="Q11" s="4" t="str">
        <f t="shared" si="1"/>
        <v>Critical</v>
      </c>
    </row>
    <row r="12" spans="1:17" ht="29" x14ac:dyDescent="0.35">
      <c r="A12" s="2" t="s">
        <v>125</v>
      </c>
      <c r="B12" s="2" t="s">
        <v>106</v>
      </c>
      <c r="C12" s="2" t="s">
        <v>67</v>
      </c>
      <c r="D12" s="3" t="s">
        <v>126</v>
      </c>
      <c r="E12" s="3" t="s">
        <v>98</v>
      </c>
      <c r="F12" s="3" t="s">
        <v>99</v>
      </c>
      <c r="G12" s="3" t="s">
        <v>100</v>
      </c>
      <c r="H12" s="3" t="s">
        <v>101</v>
      </c>
      <c r="I12" s="3" t="s">
        <v>102</v>
      </c>
      <c r="J12" s="3" t="s">
        <v>103</v>
      </c>
      <c r="K12" s="2" t="s">
        <v>40</v>
      </c>
      <c r="L12" s="2" t="s">
        <v>127</v>
      </c>
      <c r="M12" s="2" t="s">
        <v>29</v>
      </c>
      <c r="N12" s="2">
        <v>5</v>
      </c>
      <c r="O12" s="2">
        <v>4</v>
      </c>
      <c r="P12" s="2">
        <f t="shared" si="0"/>
        <v>20</v>
      </c>
      <c r="Q12" s="2" t="str">
        <f t="shared" si="1"/>
        <v>Critical</v>
      </c>
    </row>
    <row r="13" spans="1:17" ht="29" x14ac:dyDescent="0.35">
      <c r="A13" s="4" t="s">
        <v>128</v>
      </c>
      <c r="B13" s="4" t="s">
        <v>129</v>
      </c>
      <c r="C13" s="4" t="s">
        <v>19</v>
      </c>
      <c r="D13" s="5" t="s">
        <v>130</v>
      </c>
      <c r="E13" s="5" t="s">
        <v>117</v>
      </c>
      <c r="F13" s="5" t="s">
        <v>118</v>
      </c>
      <c r="G13" s="5" t="s">
        <v>119</v>
      </c>
      <c r="H13" s="5" t="s">
        <v>120</v>
      </c>
      <c r="I13" s="5" t="s">
        <v>121</v>
      </c>
      <c r="J13" s="5" t="s">
        <v>122</v>
      </c>
      <c r="K13" s="4" t="s">
        <v>123</v>
      </c>
      <c r="L13" s="4" t="s">
        <v>131</v>
      </c>
      <c r="M13" s="4" t="s">
        <v>42</v>
      </c>
      <c r="N13" s="4">
        <v>3</v>
      </c>
      <c r="O13" s="4">
        <v>1</v>
      </c>
      <c r="P13" s="4">
        <f t="shared" si="0"/>
        <v>3</v>
      </c>
      <c r="Q13" s="4" t="str">
        <f t="shared" si="1"/>
        <v>Low</v>
      </c>
    </row>
    <row r="14" spans="1:17" ht="29" x14ac:dyDescent="0.35">
      <c r="A14" s="2" t="s">
        <v>132</v>
      </c>
      <c r="B14" s="2" t="s">
        <v>129</v>
      </c>
      <c r="C14" s="2" t="s">
        <v>19</v>
      </c>
      <c r="D14" s="3" t="s">
        <v>133</v>
      </c>
      <c r="E14" s="3" t="s">
        <v>108</v>
      </c>
      <c r="F14" s="3" t="s">
        <v>109</v>
      </c>
      <c r="G14" s="3" t="s">
        <v>110</v>
      </c>
      <c r="H14" s="3" t="s">
        <v>111</v>
      </c>
      <c r="I14" s="3" t="s">
        <v>112</v>
      </c>
      <c r="J14" s="3" t="s">
        <v>113</v>
      </c>
      <c r="K14" s="2" t="s">
        <v>64</v>
      </c>
      <c r="L14" s="2" t="s">
        <v>134</v>
      </c>
      <c r="M14" s="2" t="s">
        <v>85</v>
      </c>
      <c r="N14" s="2">
        <v>5</v>
      </c>
      <c r="O14" s="2">
        <v>4</v>
      </c>
      <c r="P14" s="2">
        <f t="shared" si="0"/>
        <v>20</v>
      </c>
      <c r="Q14" s="2" t="str">
        <f t="shared" si="1"/>
        <v>Critical</v>
      </c>
    </row>
    <row r="15" spans="1:17" ht="29" x14ac:dyDescent="0.35">
      <c r="A15" s="4" t="s">
        <v>135</v>
      </c>
      <c r="B15" s="4" t="s">
        <v>87</v>
      </c>
      <c r="C15" s="4" t="s">
        <v>45</v>
      </c>
      <c r="D15" s="5" t="s">
        <v>136</v>
      </c>
      <c r="E15" s="5" t="s">
        <v>137</v>
      </c>
      <c r="F15" s="5" t="s">
        <v>138</v>
      </c>
      <c r="G15" s="5" t="s">
        <v>139</v>
      </c>
      <c r="H15" s="5" t="s">
        <v>140</v>
      </c>
      <c r="I15" s="5" t="s">
        <v>141</v>
      </c>
      <c r="J15" s="5" t="s">
        <v>142</v>
      </c>
      <c r="K15" s="4" t="s">
        <v>143</v>
      </c>
      <c r="L15" s="4" t="s">
        <v>144</v>
      </c>
      <c r="M15" s="4" t="s">
        <v>29</v>
      </c>
      <c r="N15" s="4">
        <v>1</v>
      </c>
      <c r="O15" s="4">
        <v>3</v>
      </c>
      <c r="P15" s="4">
        <f t="shared" si="0"/>
        <v>3</v>
      </c>
      <c r="Q15" s="4" t="str">
        <f t="shared" si="1"/>
        <v>Low</v>
      </c>
    </row>
    <row r="16" spans="1:17" ht="29" x14ac:dyDescent="0.35">
      <c r="A16" s="2" t="s">
        <v>145</v>
      </c>
      <c r="B16" s="2" t="s">
        <v>44</v>
      </c>
      <c r="C16" s="2" t="s">
        <v>32</v>
      </c>
      <c r="D16" s="3" t="s">
        <v>146</v>
      </c>
      <c r="E16" s="3" t="s">
        <v>147</v>
      </c>
      <c r="F16" s="3" t="s">
        <v>148</v>
      </c>
      <c r="G16" s="3" t="s">
        <v>149</v>
      </c>
      <c r="H16" s="3" t="s">
        <v>150</v>
      </c>
      <c r="I16" s="3" t="s">
        <v>151</v>
      </c>
      <c r="J16" s="3" t="s">
        <v>152</v>
      </c>
      <c r="K16" s="2" t="s">
        <v>27</v>
      </c>
      <c r="L16" s="2" t="s">
        <v>153</v>
      </c>
      <c r="M16" s="2" t="s">
        <v>42</v>
      </c>
      <c r="N16" s="2">
        <v>4</v>
      </c>
      <c r="O16" s="2">
        <v>3</v>
      </c>
      <c r="P16" s="2">
        <f t="shared" si="0"/>
        <v>12</v>
      </c>
      <c r="Q16" s="2" t="str">
        <f t="shared" si="1"/>
        <v>High</v>
      </c>
    </row>
    <row r="17" spans="1:17" ht="29" x14ac:dyDescent="0.35">
      <c r="A17" s="4" t="s">
        <v>154</v>
      </c>
      <c r="B17" s="4" t="s">
        <v>56</v>
      </c>
      <c r="C17" s="4" t="s">
        <v>32</v>
      </c>
      <c r="D17" s="5" t="s">
        <v>155</v>
      </c>
      <c r="E17" s="5" t="s">
        <v>117</v>
      </c>
      <c r="F17" s="5" t="s">
        <v>118</v>
      </c>
      <c r="G17" s="5" t="s">
        <v>119</v>
      </c>
      <c r="H17" s="5" t="s">
        <v>120</v>
      </c>
      <c r="I17" s="5" t="s">
        <v>121</v>
      </c>
      <c r="J17" s="5" t="s">
        <v>122</v>
      </c>
      <c r="K17" s="4" t="s">
        <v>123</v>
      </c>
      <c r="L17" s="4" t="s">
        <v>156</v>
      </c>
      <c r="M17" s="4" t="s">
        <v>42</v>
      </c>
      <c r="N17" s="4">
        <v>5</v>
      </c>
      <c r="O17" s="4">
        <v>3</v>
      </c>
      <c r="P17" s="4">
        <f t="shared" si="0"/>
        <v>15</v>
      </c>
      <c r="Q17" s="4" t="str">
        <f t="shared" si="1"/>
        <v>Critical</v>
      </c>
    </row>
    <row r="18" spans="1:17" ht="29" x14ac:dyDescent="0.35">
      <c r="A18" s="2" t="s">
        <v>157</v>
      </c>
      <c r="B18" s="2" t="s">
        <v>87</v>
      </c>
      <c r="C18" s="2" t="s">
        <v>45</v>
      </c>
      <c r="D18" s="3" t="s">
        <v>158</v>
      </c>
      <c r="E18" s="3" t="s">
        <v>108</v>
      </c>
      <c r="F18" s="3" t="s">
        <v>109</v>
      </c>
      <c r="G18" s="3" t="s">
        <v>110</v>
      </c>
      <c r="H18" s="3" t="s">
        <v>111</v>
      </c>
      <c r="I18" s="3" t="s">
        <v>112</v>
      </c>
      <c r="J18" s="3" t="s">
        <v>113</v>
      </c>
      <c r="K18" s="2" t="s">
        <v>64</v>
      </c>
      <c r="L18" s="2" t="s">
        <v>159</v>
      </c>
      <c r="M18" s="2" t="s">
        <v>29</v>
      </c>
      <c r="N18" s="2">
        <v>5</v>
      </c>
      <c r="O18" s="2">
        <v>4</v>
      </c>
      <c r="P18" s="2">
        <f t="shared" si="0"/>
        <v>20</v>
      </c>
      <c r="Q18" s="2" t="str">
        <f t="shared" si="1"/>
        <v>Critical</v>
      </c>
    </row>
    <row r="19" spans="1:17" ht="29" x14ac:dyDescent="0.35">
      <c r="A19" s="4" t="s">
        <v>160</v>
      </c>
      <c r="B19" s="4" t="s">
        <v>106</v>
      </c>
      <c r="C19" s="4" t="s">
        <v>67</v>
      </c>
      <c r="D19" s="5" t="s">
        <v>161</v>
      </c>
      <c r="E19" s="5" t="s">
        <v>162</v>
      </c>
      <c r="F19" s="5" t="s">
        <v>163</v>
      </c>
      <c r="G19" s="5" t="s">
        <v>164</v>
      </c>
      <c r="H19" s="5" t="s">
        <v>165</v>
      </c>
      <c r="I19" s="5" t="s">
        <v>166</v>
      </c>
      <c r="J19" s="5" t="s">
        <v>167</v>
      </c>
      <c r="K19" s="4" t="s">
        <v>168</v>
      </c>
      <c r="L19" s="4" t="s">
        <v>169</v>
      </c>
      <c r="M19" s="4" t="s">
        <v>42</v>
      </c>
      <c r="N19" s="4">
        <v>2</v>
      </c>
      <c r="O19" s="4">
        <v>1</v>
      </c>
      <c r="P19" s="4">
        <f t="shared" si="0"/>
        <v>2</v>
      </c>
      <c r="Q19" s="4" t="str">
        <f t="shared" si="1"/>
        <v>Low</v>
      </c>
    </row>
    <row r="20" spans="1:17" ht="29" x14ac:dyDescent="0.35">
      <c r="A20" s="2" t="s">
        <v>170</v>
      </c>
      <c r="B20" s="2" t="s">
        <v>87</v>
      </c>
      <c r="C20" s="2" t="s">
        <v>45</v>
      </c>
      <c r="D20" s="3" t="s">
        <v>171</v>
      </c>
      <c r="E20" s="3" t="s">
        <v>172</v>
      </c>
      <c r="F20" s="3" t="s">
        <v>173</v>
      </c>
      <c r="G20" s="3" t="s">
        <v>174</v>
      </c>
      <c r="H20" s="3" t="s">
        <v>175</v>
      </c>
      <c r="I20" s="3" t="s">
        <v>176</v>
      </c>
      <c r="J20" s="3" t="s">
        <v>177</v>
      </c>
      <c r="K20" s="2" t="s">
        <v>178</v>
      </c>
      <c r="L20" s="2" t="s">
        <v>134</v>
      </c>
      <c r="M20" s="2" t="s">
        <v>85</v>
      </c>
      <c r="N20" s="2">
        <v>2</v>
      </c>
      <c r="O20" s="2">
        <v>4</v>
      </c>
      <c r="P20" s="2">
        <f t="shared" si="0"/>
        <v>8</v>
      </c>
      <c r="Q20" s="2" t="str">
        <f t="shared" si="1"/>
        <v>Medium</v>
      </c>
    </row>
    <row r="21" spans="1:17" ht="29" x14ac:dyDescent="0.35">
      <c r="A21" s="4" t="s">
        <v>179</v>
      </c>
      <c r="B21" s="4" t="s">
        <v>31</v>
      </c>
      <c r="C21" s="4" t="s">
        <v>32</v>
      </c>
      <c r="D21" s="5" t="s">
        <v>180</v>
      </c>
      <c r="E21" s="5" t="s">
        <v>147</v>
      </c>
      <c r="F21" s="5" t="s">
        <v>148</v>
      </c>
      <c r="G21" s="5" t="s">
        <v>149</v>
      </c>
      <c r="H21" s="5" t="s">
        <v>150</v>
      </c>
      <c r="I21" s="5" t="s">
        <v>151</v>
      </c>
      <c r="J21" s="5" t="s">
        <v>152</v>
      </c>
      <c r="K21" s="4" t="s">
        <v>27</v>
      </c>
      <c r="L21" s="4" t="s">
        <v>181</v>
      </c>
      <c r="M21" s="4" t="s">
        <v>29</v>
      </c>
      <c r="N21" s="4">
        <v>5</v>
      </c>
      <c r="O21" s="4">
        <v>2</v>
      </c>
      <c r="P21" s="4">
        <f t="shared" si="0"/>
        <v>10</v>
      </c>
      <c r="Q21" s="4" t="str">
        <f t="shared" si="1"/>
        <v>High</v>
      </c>
    </row>
    <row r="22" spans="1:17" ht="29" x14ac:dyDescent="0.35">
      <c r="A22" s="2" t="s">
        <v>182</v>
      </c>
      <c r="B22" s="2" t="s">
        <v>56</v>
      </c>
      <c r="C22" s="2" t="s">
        <v>32</v>
      </c>
      <c r="D22" s="3" t="s">
        <v>180</v>
      </c>
      <c r="E22" s="3" t="s">
        <v>147</v>
      </c>
      <c r="F22" s="3" t="s">
        <v>148</v>
      </c>
      <c r="G22" s="3" t="s">
        <v>149</v>
      </c>
      <c r="H22" s="3" t="s">
        <v>150</v>
      </c>
      <c r="I22" s="3" t="s">
        <v>151</v>
      </c>
      <c r="J22" s="3" t="s">
        <v>152</v>
      </c>
      <c r="K22" s="2" t="s">
        <v>27</v>
      </c>
      <c r="L22" s="2" t="s">
        <v>134</v>
      </c>
      <c r="M22" s="2" t="s">
        <v>183</v>
      </c>
      <c r="N22" s="2">
        <v>4</v>
      </c>
      <c r="O22" s="2">
        <v>5</v>
      </c>
      <c r="P22" s="2">
        <f t="shared" si="0"/>
        <v>20</v>
      </c>
      <c r="Q22" s="2" t="str">
        <f t="shared" si="1"/>
        <v>Critical</v>
      </c>
    </row>
    <row r="23" spans="1:17" ht="29" x14ac:dyDescent="0.35">
      <c r="A23" s="4" t="s">
        <v>184</v>
      </c>
      <c r="B23" s="4" t="s">
        <v>129</v>
      </c>
      <c r="C23" s="4" t="s">
        <v>19</v>
      </c>
      <c r="D23" s="5" t="s">
        <v>97</v>
      </c>
      <c r="E23" s="5" t="s">
        <v>98</v>
      </c>
      <c r="F23" s="5" t="s">
        <v>99</v>
      </c>
      <c r="G23" s="5" t="s">
        <v>100</v>
      </c>
      <c r="H23" s="5" t="s">
        <v>101</v>
      </c>
      <c r="I23" s="5" t="s">
        <v>102</v>
      </c>
      <c r="J23" s="5" t="s">
        <v>103</v>
      </c>
      <c r="K23" s="4" t="s">
        <v>40</v>
      </c>
      <c r="L23" s="4" t="s">
        <v>185</v>
      </c>
      <c r="M23" s="4" t="s">
        <v>29</v>
      </c>
      <c r="N23" s="4">
        <v>1</v>
      </c>
      <c r="O23" s="4">
        <v>4</v>
      </c>
      <c r="P23" s="4">
        <f t="shared" si="0"/>
        <v>4</v>
      </c>
      <c r="Q23" s="4" t="str">
        <f t="shared" si="1"/>
        <v>Low</v>
      </c>
    </row>
    <row r="24" spans="1:17" ht="29" x14ac:dyDescent="0.35">
      <c r="A24" s="2" t="s">
        <v>186</v>
      </c>
      <c r="B24" s="2" t="s">
        <v>31</v>
      </c>
      <c r="C24" s="2" t="s">
        <v>32</v>
      </c>
      <c r="D24" s="3" t="s">
        <v>161</v>
      </c>
      <c r="E24" s="3" t="s">
        <v>162</v>
      </c>
      <c r="F24" s="3" t="s">
        <v>163</v>
      </c>
      <c r="G24" s="3" t="s">
        <v>164</v>
      </c>
      <c r="H24" s="3" t="s">
        <v>165</v>
      </c>
      <c r="I24" s="3" t="s">
        <v>166</v>
      </c>
      <c r="J24" s="3" t="s">
        <v>167</v>
      </c>
      <c r="K24" s="2" t="s">
        <v>168</v>
      </c>
      <c r="L24" s="2" t="s">
        <v>134</v>
      </c>
      <c r="M24" s="2" t="s">
        <v>85</v>
      </c>
      <c r="N24" s="2">
        <v>4</v>
      </c>
      <c r="O24" s="2">
        <v>4</v>
      </c>
      <c r="P24" s="2">
        <f t="shared" si="0"/>
        <v>16</v>
      </c>
      <c r="Q24" s="2" t="str">
        <f t="shared" si="1"/>
        <v>Critical</v>
      </c>
    </row>
    <row r="25" spans="1:17" ht="29" x14ac:dyDescent="0.35">
      <c r="A25" s="4" t="s">
        <v>187</v>
      </c>
      <c r="B25" s="4" t="s">
        <v>44</v>
      </c>
      <c r="C25" s="4" t="s">
        <v>32</v>
      </c>
      <c r="D25" s="5" t="s">
        <v>171</v>
      </c>
      <c r="E25" s="5" t="s">
        <v>172</v>
      </c>
      <c r="F25" s="5" t="s">
        <v>173</v>
      </c>
      <c r="G25" s="5" t="s">
        <v>174</v>
      </c>
      <c r="H25" s="5" t="s">
        <v>175</v>
      </c>
      <c r="I25" s="5" t="s">
        <v>176</v>
      </c>
      <c r="J25" s="5" t="s">
        <v>177</v>
      </c>
      <c r="K25" s="4" t="s">
        <v>178</v>
      </c>
      <c r="L25" s="4" t="s">
        <v>134</v>
      </c>
      <c r="M25" s="4" t="s">
        <v>85</v>
      </c>
      <c r="N25" s="4">
        <v>4</v>
      </c>
      <c r="O25" s="4">
        <v>4</v>
      </c>
      <c r="P25" s="4">
        <f t="shared" si="0"/>
        <v>16</v>
      </c>
      <c r="Q25" s="4" t="str">
        <f t="shared" si="1"/>
        <v>Critical</v>
      </c>
    </row>
    <row r="26" spans="1:17" ht="29" x14ac:dyDescent="0.35">
      <c r="A26" s="2" t="s">
        <v>188</v>
      </c>
      <c r="B26" s="2" t="s">
        <v>129</v>
      </c>
      <c r="C26" s="2" t="s">
        <v>19</v>
      </c>
      <c r="D26" s="3" t="s">
        <v>189</v>
      </c>
      <c r="E26" s="3" t="s">
        <v>108</v>
      </c>
      <c r="F26" s="3" t="s">
        <v>109</v>
      </c>
      <c r="G26" s="3" t="s">
        <v>110</v>
      </c>
      <c r="H26" s="3" t="s">
        <v>111</v>
      </c>
      <c r="I26" s="3" t="s">
        <v>112</v>
      </c>
      <c r="J26" s="3" t="s">
        <v>113</v>
      </c>
      <c r="K26" s="2" t="s">
        <v>64</v>
      </c>
      <c r="L26" s="2" t="s">
        <v>190</v>
      </c>
      <c r="M26" s="2" t="s">
        <v>29</v>
      </c>
      <c r="N26" s="2">
        <v>3</v>
      </c>
      <c r="O26" s="2">
        <v>4</v>
      </c>
      <c r="P26" s="2">
        <f t="shared" si="0"/>
        <v>12</v>
      </c>
      <c r="Q26" s="2" t="str">
        <f t="shared" si="1"/>
        <v>High</v>
      </c>
    </row>
    <row r="27" spans="1:17" ht="29" x14ac:dyDescent="0.35">
      <c r="A27" s="4" t="s">
        <v>191</v>
      </c>
      <c r="B27" s="4" t="s">
        <v>18</v>
      </c>
      <c r="C27" s="4" t="s">
        <v>19</v>
      </c>
      <c r="D27" s="5" t="s">
        <v>107</v>
      </c>
      <c r="E27" s="5" t="s">
        <v>108</v>
      </c>
      <c r="F27" s="5" t="s">
        <v>109</v>
      </c>
      <c r="G27" s="5" t="s">
        <v>110</v>
      </c>
      <c r="H27" s="5" t="s">
        <v>111</v>
      </c>
      <c r="I27" s="5" t="s">
        <v>112</v>
      </c>
      <c r="J27" s="5" t="s">
        <v>113</v>
      </c>
      <c r="K27" s="4" t="s">
        <v>64</v>
      </c>
      <c r="L27" s="4" t="s">
        <v>134</v>
      </c>
      <c r="M27" s="4" t="s">
        <v>85</v>
      </c>
      <c r="N27" s="4">
        <v>1</v>
      </c>
      <c r="O27" s="4">
        <v>4</v>
      </c>
      <c r="P27" s="4">
        <f t="shared" si="0"/>
        <v>4</v>
      </c>
      <c r="Q27" s="4" t="str">
        <f t="shared" si="1"/>
        <v>Low</v>
      </c>
    </row>
    <row r="28" spans="1:17" ht="29" x14ac:dyDescent="0.35">
      <c r="A28" s="2" t="s">
        <v>192</v>
      </c>
      <c r="B28" s="2" t="s">
        <v>31</v>
      </c>
      <c r="C28" s="2" t="s">
        <v>32</v>
      </c>
      <c r="D28" s="3" t="s">
        <v>193</v>
      </c>
      <c r="E28" s="3" t="s">
        <v>117</v>
      </c>
      <c r="F28" s="3" t="s">
        <v>118</v>
      </c>
      <c r="G28" s="3" t="s">
        <v>119</v>
      </c>
      <c r="H28" s="3" t="s">
        <v>120</v>
      </c>
      <c r="I28" s="3" t="s">
        <v>121</v>
      </c>
      <c r="J28" s="3" t="s">
        <v>122</v>
      </c>
      <c r="K28" s="2" t="s">
        <v>123</v>
      </c>
      <c r="L28" s="2" t="s">
        <v>194</v>
      </c>
      <c r="M28" s="2" t="s">
        <v>42</v>
      </c>
      <c r="N28" s="2">
        <v>2</v>
      </c>
      <c r="O28" s="2">
        <v>1</v>
      </c>
      <c r="P28" s="2">
        <f t="shared" si="0"/>
        <v>2</v>
      </c>
      <c r="Q28" s="2" t="str">
        <f t="shared" si="1"/>
        <v>Low</v>
      </c>
    </row>
    <row r="29" spans="1:17" ht="29" x14ac:dyDescent="0.35">
      <c r="A29" s="4" t="s">
        <v>195</v>
      </c>
      <c r="B29" s="4" t="s">
        <v>44</v>
      </c>
      <c r="C29" s="4" t="s">
        <v>32</v>
      </c>
      <c r="D29" s="5" t="s">
        <v>116</v>
      </c>
      <c r="E29" s="5" t="s">
        <v>117</v>
      </c>
      <c r="F29" s="5" t="s">
        <v>118</v>
      </c>
      <c r="G29" s="5" t="s">
        <v>119</v>
      </c>
      <c r="H29" s="5" t="s">
        <v>120</v>
      </c>
      <c r="I29" s="5" t="s">
        <v>121</v>
      </c>
      <c r="J29" s="5" t="s">
        <v>122</v>
      </c>
      <c r="K29" s="4" t="s">
        <v>123</v>
      </c>
      <c r="L29" s="4" t="s">
        <v>196</v>
      </c>
      <c r="M29" s="4" t="s">
        <v>29</v>
      </c>
      <c r="N29" s="4">
        <v>1</v>
      </c>
      <c r="O29" s="4">
        <v>2</v>
      </c>
      <c r="P29" s="4">
        <f t="shared" si="0"/>
        <v>2</v>
      </c>
      <c r="Q29" s="4" t="str">
        <f t="shared" si="1"/>
        <v>Low</v>
      </c>
    </row>
    <row r="30" spans="1:17" ht="29" x14ac:dyDescent="0.35">
      <c r="A30" s="2" t="s">
        <v>197</v>
      </c>
      <c r="B30" s="2" t="s">
        <v>106</v>
      </c>
      <c r="C30" s="2" t="s">
        <v>67</v>
      </c>
      <c r="D30" s="3" t="s">
        <v>198</v>
      </c>
      <c r="E30" s="3" t="s">
        <v>98</v>
      </c>
      <c r="F30" s="3" t="s">
        <v>99</v>
      </c>
      <c r="G30" s="3" t="s">
        <v>100</v>
      </c>
      <c r="H30" s="3" t="s">
        <v>101</v>
      </c>
      <c r="I30" s="3" t="s">
        <v>102</v>
      </c>
      <c r="J30" s="3" t="s">
        <v>103</v>
      </c>
      <c r="K30" s="2" t="s">
        <v>40</v>
      </c>
      <c r="L30" s="2" t="s">
        <v>199</v>
      </c>
      <c r="M30" s="2" t="s">
        <v>29</v>
      </c>
      <c r="N30" s="2">
        <v>2</v>
      </c>
      <c r="O30" s="2">
        <v>3</v>
      </c>
      <c r="P30" s="2">
        <f t="shared" si="0"/>
        <v>6</v>
      </c>
      <c r="Q30" s="2" t="str">
        <f t="shared" si="1"/>
        <v>Medium</v>
      </c>
    </row>
    <row r="31" spans="1:17" ht="29" x14ac:dyDescent="0.35">
      <c r="A31" s="4" t="s">
        <v>200</v>
      </c>
      <c r="B31" s="4" t="s">
        <v>87</v>
      </c>
      <c r="C31" s="4" t="s">
        <v>45</v>
      </c>
      <c r="D31" s="5" t="s">
        <v>201</v>
      </c>
      <c r="E31" s="5" t="s">
        <v>162</v>
      </c>
      <c r="F31" s="5" t="s">
        <v>163</v>
      </c>
      <c r="G31" s="5" t="s">
        <v>164</v>
      </c>
      <c r="H31" s="5" t="s">
        <v>165</v>
      </c>
      <c r="I31" s="5" t="s">
        <v>166</v>
      </c>
      <c r="J31" s="5" t="s">
        <v>167</v>
      </c>
      <c r="K31" s="4" t="s">
        <v>168</v>
      </c>
      <c r="L31" s="4" t="s">
        <v>134</v>
      </c>
      <c r="M31" s="4" t="s">
        <v>85</v>
      </c>
      <c r="N31" s="4">
        <v>2</v>
      </c>
      <c r="O31" s="4">
        <v>3</v>
      </c>
      <c r="P31" s="4">
        <f t="shared" si="0"/>
        <v>6</v>
      </c>
      <c r="Q31" s="4" t="str">
        <f t="shared" si="1"/>
        <v>Medium</v>
      </c>
    </row>
    <row r="32" spans="1:17" ht="29" x14ac:dyDescent="0.35">
      <c r="A32" s="2" t="s">
        <v>202</v>
      </c>
      <c r="B32" s="2" t="s">
        <v>87</v>
      </c>
      <c r="C32" s="2" t="s">
        <v>45</v>
      </c>
      <c r="D32" s="3" t="s">
        <v>203</v>
      </c>
      <c r="E32" s="3" t="s">
        <v>204</v>
      </c>
      <c r="F32" s="3" t="s">
        <v>205</v>
      </c>
      <c r="G32" s="3" t="s">
        <v>206</v>
      </c>
      <c r="H32" s="3" t="s">
        <v>207</v>
      </c>
      <c r="I32" s="3" t="s">
        <v>208</v>
      </c>
      <c r="J32" s="3" t="s">
        <v>209</v>
      </c>
      <c r="K32" s="2" t="s">
        <v>210</v>
      </c>
      <c r="L32" s="2" t="s">
        <v>134</v>
      </c>
      <c r="M32" s="2" t="s">
        <v>85</v>
      </c>
      <c r="N32" s="2">
        <v>4</v>
      </c>
      <c r="O32" s="2">
        <v>3</v>
      </c>
      <c r="P32" s="2">
        <f t="shared" si="0"/>
        <v>12</v>
      </c>
      <c r="Q32" s="2" t="str">
        <f t="shared" si="1"/>
        <v>High</v>
      </c>
    </row>
    <row r="33" spans="1:17" ht="29" x14ac:dyDescent="0.35">
      <c r="A33" s="4" t="s">
        <v>211</v>
      </c>
      <c r="B33" s="4" t="s">
        <v>87</v>
      </c>
      <c r="C33" s="4" t="s">
        <v>45</v>
      </c>
      <c r="D33" s="5" t="s">
        <v>212</v>
      </c>
      <c r="E33" s="5" t="s">
        <v>162</v>
      </c>
      <c r="F33" s="5" t="s">
        <v>163</v>
      </c>
      <c r="G33" s="5" t="s">
        <v>164</v>
      </c>
      <c r="H33" s="5" t="s">
        <v>165</v>
      </c>
      <c r="I33" s="5" t="s">
        <v>166</v>
      </c>
      <c r="J33" s="5" t="s">
        <v>167</v>
      </c>
      <c r="K33" s="4" t="s">
        <v>168</v>
      </c>
      <c r="L33" s="4" t="s">
        <v>213</v>
      </c>
      <c r="M33" s="4" t="s">
        <v>29</v>
      </c>
      <c r="N33" s="4">
        <v>1</v>
      </c>
      <c r="O33" s="4">
        <v>3</v>
      </c>
      <c r="P33" s="4">
        <f t="shared" si="0"/>
        <v>3</v>
      </c>
      <c r="Q33" s="4" t="str">
        <f t="shared" si="1"/>
        <v>Low</v>
      </c>
    </row>
    <row r="34" spans="1:17" ht="29" x14ac:dyDescent="0.35">
      <c r="A34" s="2" t="s">
        <v>214</v>
      </c>
      <c r="B34" s="2" t="s">
        <v>106</v>
      </c>
      <c r="C34" s="2" t="s">
        <v>67</v>
      </c>
      <c r="D34" s="3" t="s">
        <v>171</v>
      </c>
      <c r="E34" s="3" t="s">
        <v>172</v>
      </c>
      <c r="F34" s="3" t="s">
        <v>173</v>
      </c>
      <c r="G34" s="3" t="s">
        <v>174</v>
      </c>
      <c r="H34" s="3" t="s">
        <v>175</v>
      </c>
      <c r="I34" s="3" t="s">
        <v>176</v>
      </c>
      <c r="J34" s="3" t="s">
        <v>177</v>
      </c>
      <c r="K34" s="2" t="s">
        <v>178</v>
      </c>
      <c r="L34" s="2" t="s">
        <v>215</v>
      </c>
      <c r="M34" s="2" t="s">
        <v>29</v>
      </c>
      <c r="N34" s="2">
        <v>2</v>
      </c>
      <c r="O34" s="2">
        <v>3</v>
      </c>
      <c r="P34" s="2">
        <f t="shared" ref="P34:P65" si="2">N34*O34</f>
        <v>6</v>
      </c>
      <c r="Q34" s="2" t="str">
        <f t="shared" ref="Q34:Q65" si="3">IF(P34&gt;=15, "Critical", IF(P34&gt;=10, "High", IF(P34&gt;=5, "Medium", "Low")))</f>
        <v>Medium</v>
      </c>
    </row>
    <row r="35" spans="1:17" ht="29" x14ac:dyDescent="0.35">
      <c r="A35" s="4" t="s">
        <v>216</v>
      </c>
      <c r="B35" s="4" t="s">
        <v>56</v>
      </c>
      <c r="C35" s="4" t="s">
        <v>32</v>
      </c>
      <c r="D35" s="5" t="s">
        <v>126</v>
      </c>
      <c r="E35" s="5" t="s">
        <v>98</v>
      </c>
      <c r="F35" s="5" t="s">
        <v>99</v>
      </c>
      <c r="G35" s="5" t="s">
        <v>100</v>
      </c>
      <c r="H35" s="5" t="s">
        <v>101</v>
      </c>
      <c r="I35" s="5" t="s">
        <v>102</v>
      </c>
      <c r="J35" s="5" t="s">
        <v>103</v>
      </c>
      <c r="K35" s="4" t="s">
        <v>40</v>
      </c>
      <c r="L35" s="4" t="s">
        <v>217</v>
      </c>
      <c r="M35" s="4" t="s">
        <v>29</v>
      </c>
      <c r="N35" s="4">
        <v>3</v>
      </c>
      <c r="O35" s="4">
        <v>5</v>
      </c>
      <c r="P35" s="4">
        <f t="shared" si="2"/>
        <v>15</v>
      </c>
      <c r="Q35" s="4" t="str">
        <f t="shared" si="3"/>
        <v>Critical</v>
      </c>
    </row>
    <row r="36" spans="1:17" ht="29" x14ac:dyDescent="0.35">
      <c r="A36" s="2" t="s">
        <v>218</v>
      </c>
      <c r="B36" s="2" t="s">
        <v>44</v>
      </c>
      <c r="C36" s="2" t="s">
        <v>32</v>
      </c>
      <c r="D36" s="3" t="s">
        <v>219</v>
      </c>
      <c r="E36" s="3" t="s">
        <v>220</v>
      </c>
      <c r="F36" s="3" t="s">
        <v>221</v>
      </c>
      <c r="G36" s="3" t="s">
        <v>222</v>
      </c>
      <c r="H36" s="3" t="s">
        <v>223</v>
      </c>
      <c r="I36" s="3" t="s">
        <v>224</v>
      </c>
      <c r="J36" s="3" t="s">
        <v>225</v>
      </c>
      <c r="K36" s="2" t="s">
        <v>226</v>
      </c>
      <c r="L36" s="2" t="s">
        <v>227</v>
      </c>
      <c r="M36" s="2" t="s">
        <v>42</v>
      </c>
      <c r="N36" s="2">
        <v>4</v>
      </c>
      <c r="O36" s="2">
        <v>4</v>
      </c>
      <c r="P36" s="2">
        <f t="shared" si="2"/>
        <v>16</v>
      </c>
      <c r="Q36" s="2" t="str">
        <f t="shared" si="3"/>
        <v>Critical</v>
      </c>
    </row>
    <row r="37" spans="1:17" ht="29" x14ac:dyDescent="0.35">
      <c r="A37" s="4" t="s">
        <v>228</v>
      </c>
      <c r="B37" s="4" t="s">
        <v>18</v>
      </c>
      <c r="C37" s="4" t="s">
        <v>19</v>
      </c>
      <c r="D37" s="5" t="s">
        <v>116</v>
      </c>
      <c r="E37" s="5" t="s">
        <v>117</v>
      </c>
      <c r="F37" s="5" t="s">
        <v>118</v>
      </c>
      <c r="G37" s="5" t="s">
        <v>119</v>
      </c>
      <c r="H37" s="5" t="s">
        <v>120</v>
      </c>
      <c r="I37" s="5" t="s">
        <v>121</v>
      </c>
      <c r="J37" s="5" t="s">
        <v>122</v>
      </c>
      <c r="K37" s="4" t="s">
        <v>123</v>
      </c>
      <c r="L37" s="4" t="s">
        <v>159</v>
      </c>
      <c r="M37" s="4" t="s">
        <v>42</v>
      </c>
      <c r="N37" s="4">
        <v>5</v>
      </c>
      <c r="O37" s="4">
        <v>5</v>
      </c>
      <c r="P37" s="4">
        <f t="shared" si="2"/>
        <v>25</v>
      </c>
      <c r="Q37" s="4" t="str">
        <f t="shared" si="3"/>
        <v>Critical</v>
      </c>
    </row>
    <row r="38" spans="1:17" ht="29" x14ac:dyDescent="0.35">
      <c r="A38" s="2" t="s">
        <v>229</v>
      </c>
      <c r="B38" s="2" t="s">
        <v>106</v>
      </c>
      <c r="C38" s="2" t="s">
        <v>67</v>
      </c>
      <c r="D38" s="3" t="s">
        <v>136</v>
      </c>
      <c r="E38" s="3" t="s">
        <v>137</v>
      </c>
      <c r="F38" s="3" t="s">
        <v>138</v>
      </c>
      <c r="G38" s="3" t="s">
        <v>139</v>
      </c>
      <c r="H38" s="3" t="s">
        <v>140</v>
      </c>
      <c r="I38" s="3" t="s">
        <v>141</v>
      </c>
      <c r="J38" s="3" t="s">
        <v>142</v>
      </c>
      <c r="K38" s="2" t="s">
        <v>143</v>
      </c>
      <c r="L38" s="2" t="s">
        <v>134</v>
      </c>
      <c r="M38" s="2" t="s">
        <v>85</v>
      </c>
      <c r="N38" s="2">
        <v>5</v>
      </c>
      <c r="O38" s="2">
        <v>4</v>
      </c>
      <c r="P38" s="2">
        <f t="shared" si="2"/>
        <v>20</v>
      </c>
      <c r="Q38" s="2" t="str">
        <f t="shared" si="3"/>
        <v>Critical</v>
      </c>
    </row>
    <row r="39" spans="1:17" ht="29" x14ac:dyDescent="0.35">
      <c r="A39" s="4" t="s">
        <v>230</v>
      </c>
      <c r="B39" s="4" t="s">
        <v>44</v>
      </c>
      <c r="C39" s="4" t="s">
        <v>32</v>
      </c>
      <c r="D39" s="5" t="s">
        <v>231</v>
      </c>
      <c r="E39" s="5" t="s">
        <v>98</v>
      </c>
      <c r="F39" s="5" t="s">
        <v>99</v>
      </c>
      <c r="G39" s="5" t="s">
        <v>100</v>
      </c>
      <c r="H39" s="5" t="s">
        <v>101</v>
      </c>
      <c r="I39" s="5" t="s">
        <v>102</v>
      </c>
      <c r="J39" s="5" t="s">
        <v>103</v>
      </c>
      <c r="K39" s="4" t="s">
        <v>40</v>
      </c>
      <c r="L39" s="4" t="s">
        <v>156</v>
      </c>
      <c r="M39" s="4" t="s">
        <v>29</v>
      </c>
      <c r="N39" s="4">
        <v>5</v>
      </c>
      <c r="O39" s="4">
        <v>2</v>
      </c>
      <c r="P39" s="4">
        <f t="shared" si="2"/>
        <v>10</v>
      </c>
      <c r="Q39" s="4" t="str">
        <f t="shared" si="3"/>
        <v>High</v>
      </c>
    </row>
    <row r="40" spans="1:17" ht="29" x14ac:dyDescent="0.35">
      <c r="A40" s="2" t="s">
        <v>232</v>
      </c>
      <c r="B40" s="2" t="s">
        <v>129</v>
      </c>
      <c r="C40" s="2" t="s">
        <v>19</v>
      </c>
      <c r="D40" s="3" t="s">
        <v>116</v>
      </c>
      <c r="E40" s="3" t="s">
        <v>117</v>
      </c>
      <c r="F40" s="3" t="s">
        <v>118</v>
      </c>
      <c r="G40" s="3" t="s">
        <v>119</v>
      </c>
      <c r="H40" s="3" t="s">
        <v>120</v>
      </c>
      <c r="I40" s="3" t="s">
        <v>121</v>
      </c>
      <c r="J40" s="3" t="s">
        <v>122</v>
      </c>
      <c r="K40" s="2" t="s">
        <v>123</v>
      </c>
      <c r="L40" s="2" t="s">
        <v>233</v>
      </c>
      <c r="M40" s="2" t="s">
        <v>42</v>
      </c>
      <c r="N40" s="2">
        <v>4</v>
      </c>
      <c r="O40" s="2">
        <v>2</v>
      </c>
      <c r="P40" s="2">
        <f t="shared" si="2"/>
        <v>8</v>
      </c>
      <c r="Q40" s="2" t="str">
        <f t="shared" si="3"/>
        <v>Medium</v>
      </c>
    </row>
    <row r="41" spans="1:17" ht="29" x14ac:dyDescent="0.35">
      <c r="A41" s="4" t="s">
        <v>234</v>
      </c>
      <c r="B41" s="4" t="s">
        <v>31</v>
      </c>
      <c r="C41" s="4" t="s">
        <v>32</v>
      </c>
      <c r="D41" s="5" t="s">
        <v>235</v>
      </c>
      <c r="E41" s="5" t="s">
        <v>204</v>
      </c>
      <c r="F41" s="5" t="s">
        <v>205</v>
      </c>
      <c r="G41" s="5" t="s">
        <v>206</v>
      </c>
      <c r="H41" s="5" t="s">
        <v>207</v>
      </c>
      <c r="I41" s="5" t="s">
        <v>208</v>
      </c>
      <c r="J41" s="5" t="s">
        <v>209</v>
      </c>
      <c r="K41" s="4" t="s">
        <v>210</v>
      </c>
      <c r="L41" s="4" t="s">
        <v>236</v>
      </c>
      <c r="M41" s="4" t="s">
        <v>42</v>
      </c>
      <c r="N41" s="4">
        <v>4</v>
      </c>
      <c r="O41" s="4">
        <v>2</v>
      </c>
      <c r="P41" s="4">
        <f t="shared" si="2"/>
        <v>8</v>
      </c>
      <c r="Q41" s="4" t="str">
        <f t="shared" si="3"/>
        <v>Medium</v>
      </c>
    </row>
    <row r="42" spans="1:17" ht="29" x14ac:dyDescent="0.35">
      <c r="A42" s="2" t="s">
        <v>237</v>
      </c>
      <c r="B42" s="2" t="s">
        <v>44</v>
      </c>
      <c r="C42" s="2" t="s">
        <v>32</v>
      </c>
      <c r="D42" s="3" t="s">
        <v>238</v>
      </c>
      <c r="E42" s="3" t="s">
        <v>137</v>
      </c>
      <c r="F42" s="3" t="s">
        <v>138</v>
      </c>
      <c r="G42" s="3" t="s">
        <v>139</v>
      </c>
      <c r="H42" s="3" t="s">
        <v>140</v>
      </c>
      <c r="I42" s="3" t="s">
        <v>141</v>
      </c>
      <c r="J42" s="3" t="s">
        <v>142</v>
      </c>
      <c r="K42" s="2" t="s">
        <v>143</v>
      </c>
      <c r="L42" s="2" t="s">
        <v>239</v>
      </c>
      <c r="M42" s="2" t="s">
        <v>29</v>
      </c>
      <c r="N42" s="2">
        <v>2</v>
      </c>
      <c r="O42" s="2">
        <v>4</v>
      </c>
      <c r="P42" s="2">
        <f t="shared" si="2"/>
        <v>8</v>
      </c>
      <c r="Q42" s="2" t="str">
        <f t="shared" si="3"/>
        <v>Medium</v>
      </c>
    </row>
    <row r="43" spans="1:17" ht="29" x14ac:dyDescent="0.35">
      <c r="A43" s="4" t="s">
        <v>240</v>
      </c>
      <c r="B43" s="4" t="s">
        <v>18</v>
      </c>
      <c r="C43" s="4" t="s">
        <v>19</v>
      </c>
      <c r="D43" s="5" t="s">
        <v>241</v>
      </c>
      <c r="E43" s="5" t="s">
        <v>147</v>
      </c>
      <c r="F43" s="5" t="s">
        <v>148</v>
      </c>
      <c r="G43" s="5" t="s">
        <v>149</v>
      </c>
      <c r="H43" s="5" t="s">
        <v>150</v>
      </c>
      <c r="I43" s="5" t="s">
        <v>151</v>
      </c>
      <c r="J43" s="5" t="s">
        <v>152</v>
      </c>
      <c r="K43" s="4" t="s">
        <v>27</v>
      </c>
      <c r="L43" s="4" t="s">
        <v>242</v>
      </c>
      <c r="M43" s="4" t="s">
        <v>29</v>
      </c>
      <c r="N43" s="4">
        <v>4</v>
      </c>
      <c r="O43" s="4">
        <v>5</v>
      </c>
      <c r="P43" s="4">
        <f t="shared" si="2"/>
        <v>20</v>
      </c>
      <c r="Q43" s="4" t="str">
        <f t="shared" si="3"/>
        <v>Critical</v>
      </c>
    </row>
    <row r="44" spans="1:17" ht="29" x14ac:dyDescent="0.35">
      <c r="A44" s="2" t="s">
        <v>243</v>
      </c>
      <c r="B44" s="2" t="s">
        <v>87</v>
      </c>
      <c r="C44" s="2" t="s">
        <v>45</v>
      </c>
      <c r="D44" s="3" t="s">
        <v>244</v>
      </c>
      <c r="E44" s="3" t="s">
        <v>137</v>
      </c>
      <c r="F44" s="3" t="s">
        <v>138</v>
      </c>
      <c r="G44" s="3" t="s">
        <v>139</v>
      </c>
      <c r="H44" s="3" t="s">
        <v>140</v>
      </c>
      <c r="I44" s="3" t="s">
        <v>141</v>
      </c>
      <c r="J44" s="3" t="s">
        <v>142</v>
      </c>
      <c r="K44" s="2" t="s">
        <v>143</v>
      </c>
      <c r="L44" s="2" t="s">
        <v>124</v>
      </c>
      <c r="M44" s="2" t="s">
        <v>42</v>
      </c>
      <c r="N44" s="2">
        <v>3</v>
      </c>
      <c r="O44" s="2">
        <v>5</v>
      </c>
      <c r="P44" s="2">
        <f t="shared" si="2"/>
        <v>15</v>
      </c>
      <c r="Q44" s="2" t="str">
        <f t="shared" si="3"/>
        <v>Critical</v>
      </c>
    </row>
    <row r="45" spans="1:17" ht="29" x14ac:dyDescent="0.35">
      <c r="A45" s="4" t="s">
        <v>245</v>
      </c>
      <c r="B45" s="4" t="s">
        <v>106</v>
      </c>
      <c r="C45" s="4" t="s">
        <v>67</v>
      </c>
      <c r="D45" s="5" t="s">
        <v>198</v>
      </c>
      <c r="E45" s="5" t="s">
        <v>98</v>
      </c>
      <c r="F45" s="5" t="s">
        <v>99</v>
      </c>
      <c r="G45" s="5" t="s">
        <v>100</v>
      </c>
      <c r="H45" s="5" t="s">
        <v>101</v>
      </c>
      <c r="I45" s="5" t="s">
        <v>102</v>
      </c>
      <c r="J45" s="5" t="s">
        <v>103</v>
      </c>
      <c r="K45" s="4" t="s">
        <v>40</v>
      </c>
      <c r="L45" s="4" t="s">
        <v>246</v>
      </c>
      <c r="M45" s="4" t="s">
        <v>29</v>
      </c>
      <c r="N45" s="4">
        <v>5</v>
      </c>
      <c r="O45" s="4">
        <v>5</v>
      </c>
      <c r="P45" s="4">
        <f t="shared" si="2"/>
        <v>25</v>
      </c>
      <c r="Q45" s="4" t="str">
        <f t="shared" si="3"/>
        <v>Critical</v>
      </c>
    </row>
    <row r="46" spans="1:17" ht="29" x14ac:dyDescent="0.35">
      <c r="A46" s="2" t="s">
        <v>247</v>
      </c>
      <c r="B46" s="2" t="s">
        <v>31</v>
      </c>
      <c r="C46" s="2" t="s">
        <v>32</v>
      </c>
      <c r="D46" s="3" t="s">
        <v>238</v>
      </c>
      <c r="E46" s="3" t="s">
        <v>137</v>
      </c>
      <c r="F46" s="3" t="s">
        <v>138</v>
      </c>
      <c r="G46" s="3" t="s">
        <v>139</v>
      </c>
      <c r="H46" s="3" t="s">
        <v>140</v>
      </c>
      <c r="I46" s="3" t="s">
        <v>141</v>
      </c>
      <c r="J46" s="3" t="s">
        <v>142</v>
      </c>
      <c r="K46" s="2" t="s">
        <v>143</v>
      </c>
      <c r="L46" s="2" t="s">
        <v>95</v>
      </c>
      <c r="M46" s="2" t="s">
        <v>42</v>
      </c>
      <c r="N46" s="2">
        <v>2</v>
      </c>
      <c r="O46" s="2">
        <v>2</v>
      </c>
      <c r="P46" s="2">
        <f t="shared" si="2"/>
        <v>4</v>
      </c>
      <c r="Q46" s="2" t="str">
        <f t="shared" si="3"/>
        <v>Low</v>
      </c>
    </row>
    <row r="47" spans="1:17" ht="29" x14ac:dyDescent="0.35">
      <c r="A47" s="4" t="s">
        <v>248</v>
      </c>
      <c r="B47" s="4" t="s">
        <v>129</v>
      </c>
      <c r="C47" s="4" t="s">
        <v>19</v>
      </c>
      <c r="D47" s="5" t="s">
        <v>249</v>
      </c>
      <c r="E47" s="5" t="s">
        <v>220</v>
      </c>
      <c r="F47" s="5" t="s">
        <v>221</v>
      </c>
      <c r="G47" s="5" t="s">
        <v>222</v>
      </c>
      <c r="H47" s="5" t="s">
        <v>223</v>
      </c>
      <c r="I47" s="5" t="s">
        <v>224</v>
      </c>
      <c r="J47" s="5" t="s">
        <v>225</v>
      </c>
      <c r="K47" s="4" t="s">
        <v>226</v>
      </c>
      <c r="L47" s="4" t="s">
        <v>250</v>
      </c>
      <c r="M47" s="4" t="s">
        <v>29</v>
      </c>
      <c r="N47" s="4">
        <v>2</v>
      </c>
      <c r="O47" s="4">
        <v>2</v>
      </c>
      <c r="P47" s="4">
        <f t="shared" si="2"/>
        <v>4</v>
      </c>
      <c r="Q47" s="4" t="str">
        <f t="shared" si="3"/>
        <v>Low</v>
      </c>
    </row>
    <row r="48" spans="1:17" ht="29" x14ac:dyDescent="0.35">
      <c r="A48" s="2" t="s">
        <v>251</v>
      </c>
      <c r="B48" s="2" t="s">
        <v>44</v>
      </c>
      <c r="C48" s="2" t="s">
        <v>32</v>
      </c>
      <c r="D48" s="3" t="s">
        <v>252</v>
      </c>
      <c r="E48" s="3" t="s">
        <v>253</v>
      </c>
      <c r="F48" s="3" t="s">
        <v>254</v>
      </c>
      <c r="G48" s="3" t="s">
        <v>255</v>
      </c>
      <c r="H48" s="3" t="s">
        <v>256</v>
      </c>
      <c r="I48" s="3" t="s">
        <v>257</v>
      </c>
      <c r="J48" s="3" t="s">
        <v>258</v>
      </c>
      <c r="K48" s="2" t="s">
        <v>259</v>
      </c>
      <c r="L48" s="2" t="s">
        <v>260</v>
      </c>
      <c r="M48" s="2" t="s">
        <v>29</v>
      </c>
      <c r="N48" s="2">
        <v>4</v>
      </c>
      <c r="O48" s="2">
        <v>1</v>
      </c>
      <c r="P48" s="2">
        <f t="shared" si="2"/>
        <v>4</v>
      </c>
      <c r="Q48" s="2" t="str">
        <f t="shared" si="3"/>
        <v>Low</v>
      </c>
    </row>
    <row r="49" spans="1:17" ht="29" x14ac:dyDescent="0.35">
      <c r="A49" s="4" t="s">
        <v>261</v>
      </c>
      <c r="B49" s="4" t="s">
        <v>18</v>
      </c>
      <c r="C49" s="4" t="s">
        <v>19</v>
      </c>
      <c r="D49" s="5" t="s">
        <v>238</v>
      </c>
      <c r="E49" s="5" t="s">
        <v>137</v>
      </c>
      <c r="F49" s="5" t="s">
        <v>138</v>
      </c>
      <c r="G49" s="5" t="s">
        <v>139</v>
      </c>
      <c r="H49" s="5" t="s">
        <v>140</v>
      </c>
      <c r="I49" s="5" t="s">
        <v>141</v>
      </c>
      <c r="J49" s="5" t="s">
        <v>142</v>
      </c>
      <c r="K49" s="4" t="s">
        <v>143</v>
      </c>
      <c r="L49" s="4" t="s">
        <v>134</v>
      </c>
      <c r="M49" s="4" t="s">
        <v>85</v>
      </c>
      <c r="N49" s="4">
        <v>4</v>
      </c>
      <c r="O49" s="4">
        <v>2</v>
      </c>
      <c r="P49" s="4">
        <f t="shared" si="2"/>
        <v>8</v>
      </c>
      <c r="Q49" s="4" t="str">
        <f t="shared" si="3"/>
        <v>Medium</v>
      </c>
    </row>
    <row r="50" spans="1:17" ht="29" x14ac:dyDescent="0.35">
      <c r="A50" s="2" t="s">
        <v>262</v>
      </c>
      <c r="B50" s="2" t="s">
        <v>18</v>
      </c>
      <c r="C50" s="2" t="s">
        <v>19</v>
      </c>
      <c r="D50" s="3" t="s">
        <v>238</v>
      </c>
      <c r="E50" s="3" t="s">
        <v>137</v>
      </c>
      <c r="F50" s="3" t="s">
        <v>138</v>
      </c>
      <c r="G50" s="3" t="s">
        <v>139</v>
      </c>
      <c r="H50" s="3" t="s">
        <v>140</v>
      </c>
      <c r="I50" s="3" t="s">
        <v>141</v>
      </c>
      <c r="J50" s="3" t="s">
        <v>142</v>
      </c>
      <c r="K50" s="2" t="s">
        <v>143</v>
      </c>
      <c r="L50" s="2" t="s">
        <v>134</v>
      </c>
      <c r="M50" s="2" t="s">
        <v>183</v>
      </c>
      <c r="N50" s="2">
        <v>2</v>
      </c>
      <c r="O50" s="2">
        <v>5</v>
      </c>
      <c r="P50" s="2">
        <f t="shared" si="2"/>
        <v>10</v>
      </c>
      <c r="Q50" s="2" t="str">
        <f t="shared" si="3"/>
        <v>High</v>
      </c>
    </row>
    <row r="51" spans="1:17" ht="29" x14ac:dyDescent="0.35">
      <c r="A51" s="4" t="s">
        <v>263</v>
      </c>
      <c r="B51" s="4" t="s">
        <v>106</v>
      </c>
      <c r="C51" s="4" t="s">
        <v>67</v>
      </c>
      <c r="D51" s="5" t="s">
        <v>231</v>
      </c>
      <c r="E51" s="5" t="s">
        <v>98</v>
      </c>
      <c r="F51" s="5" t="s">
        <v>99</v>
      </c>
      <c r="G51" s="5" t="s">
        <v>100</v>
      </c>
      <c r="H51" s="5" t="s">
        <v>101</v>
      </c>
      <c r="I51" s="5" t="s">
        <v>102</v>
      </c>
      <c r="J51" s="5" t="s">
        <v>103</v>
      </c>
      <c r="K51" s="4" t="s">
        <v>40</v>
      </c>
      <c r="L51" s="4" t="s">
        <v>213</v>
      </c>
      <c r="M51" s="4" t="s">
        <v>29</v>
      </c>
      <c r="N51" s="4">
        <v>3</v>
      </c>
      <c r="O51" s="4">
        <v>3</v>
      </c>
      <c r="P51" s="4">
        <f t="shared" si="2"/>
        <v>9</v>
      </c>
      <c r="Q51" s="4" t="str">
        <f t="shared" si="3"/>
        <v>Medium</v>
      </c>
    </row>
  </sheetData>
  <dataValidations count="2">
    <dataValidation type="list" sqref="M2:M100" xr:uid="{00000000-0002-0000-0000-000000000000}">
      <formula1>"Open,In Progress,Closed,Accepted"</formula1>
    </dataValidation>
    <dataValidation type="whole" sqref="N2:O100" xr:uid="{00000000-0002-0000-0000-000001000000}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Risk_Register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 Moeed Rehman</cp:lastModifiedBy>
  <dcterms:created xsi:type="dcterms:W3CDTF">2026-07-01T10:48:59Z</dcterms:created>
  <dcterms:modified xsi:type="dcterms:W3CDTF">2026-07-01T11:44:26Z</dcterms:modified>
</cp:coreProperties>
</file>